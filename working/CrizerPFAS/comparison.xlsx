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wambaug\git\invitrotkstats\working\CrizerPFAS\"/>
    </mc:Choice>
  </mc:AlternateContent>
  <xr:revisionPtr revIDLastSave="0" documentId="13_ncr:1_{73734C54-5E6F-4BE1-845A-6EB1CE0361D4}" xr6:coauthVersionLast="47" xr6:coauthVersionMax="47" xr10:uidLastSave="{00000000-0000-0000-0000-000000000000}"/>
  <bookViews>
    <workbookView xWindow="-110" yWindow="-110" windowWidth="19420" windowHeight="11020" xr2:uid="{1918DF3D-EC41-4F56-ACDD-0A9D0F475726}"/>
  </bookViews>
  <sheets>
    <sheet name="Sheet2" sheetId="2" r:id="rId1"/>
    <sheet name="Sheet1" sheetId="1" r:id="rId2"/>
  </sheets>
  <externalReferences>
    <externalReference r:id="rId3"/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4" i="1" l="1"/>
  <c r="F14" i="1"/>
  <c r="E14" i="1"/>
  <c r="G4" i="1"/>
  <c r="F4" i="1"/>
  <c r="E4" i="1"/>
  <c r="G22" i="1"/>
  <c r="F22" i="1"/>
  <c r="E22" i="1"/>
  <c r="G38" i="1"/>
  <c r="F38" i="1"/>
  <c r="E38" i="1"/>
  <c r="G48" i="1"/>
  <c r="F48" i="1"/>
  <c r="E48" i="1"/>
  <c r="G31" i="1"/>
  <c r="F31" i="1"/>
  <c r="E31" i="1"/>
  <c r="G26" i="1"/>
  <c r="F26" i="1"/>
  <c r="E26" i="1"/>
  <c r="G30" i="1"/>
  <c r="F30" i="1"/>
  <c r="E30" i="1"/>
  <c r="G47" i="1"/>
  <c r="F47" i="1"/>
  <c r="E47" i="1"/>
  <c r="G35" i="1"/>
  <c r="F35" i="1"/>
  <c r="E35" i="1"/>
  <c r="G29" i="1"/>
  <c r="F29" i="1"/>
  <c r="E29" i="1"/>
  <c r="G40" i="1"/>
  <c r="F40" i="1"/>
  <c r="E40" i="1"/>
  <c r="G34" i="1"/>
  <c r="F34" i="1"/>
  <c r="E34" i="1"/>
  <c r="G55" i="1"/>
  <c r="F55" i="1"/>
  <c r="E55" i="1"/>
  <c r="G54" i="1"/>
  <c r="F54" i="1"/>
  <c r="E54" i="1"/>
  <c r="G28" i="1"/>
  <c r="F28" i="1"/>
  <c r="E28" i="1"/>
  <c r="G53" i="1"/>
  <c r="F53" i="1"/>
  <c r="E53" i="1"/>
  <c r="G52" i="1"/>
  <c r="F52" i="1"/>
  <c r="E52" i="1"/>
  <c r="G41" i="1"/>
  <c r="F41" i="1"/>
  <c r="E41" i="1"/>
  <c r="G5" i="1"/>
  <c r="F5" i="1"/>
  <c r="E5" i="1"/>
  <c r="G25" i="1"/>
  <c r="F25" i="1"/>
  <c r="E25" i="1"/>
  <c r="G51" i="1"/>
  <c r="F51" i="1"/>
  <c r="E51" i="1"/>
  <c r="G27" i="1"/>
  <c r="F27" i="1"/>
  <c r="E27" i="1"/>
  <c r="G42" i="1"/>
  <c r="F42" i="1"/>
  <c r="E42" i="1"/>
  <c r="G32" i="1"/>
  <c r="F32" i="1"/>
  <c r="E32" i="1"/>
  <c r="G36" i="1"/>
  <c r="F36" i="1"/>
  <c r="E36" i="1"/>
  <c r="G43" i="1"/>
  <c r="F43" i="1"/>
  <c r="E43" i="1"/>
  <c r="G46" i="1"/>
  <c r="F46" i="1"/>
  <c r="H46" i="1" s="1"/>
  <c r="E46" i="1"/>
  <c r="G33" i="1"/>
  <c r="F33" i="1"/>
  <c r="E33" i="1"/>
  <c r="G37" i="1"/>
  <c r="F37" i="1"/>
  <c r="E37" i="1"/>
  <c r="G50" i="1"/>
  <c r="F50" i="1"/>
  <c r="E50" i="1"/>
  <c r="G6" i="1"/>
  <c r="F6" i="1"/>
  <c r="E6" i="1"/>
  <c r="G45" i="1"/>
  <c r="F45" i="1"/>
  <c r="E45" i="1"/>
  <c r="G44" i="1"/>
  <c r="F44" i="1"/>
  <c r="E44" i="1"/>
  <c r="G39" i="1"/>
  <c r="F39" i="1"/>
  <c r="E39" i="1"/>
  <c r="G49" i="1"/>
  <c r="F49" i="1"/>
  <c r="E49" i="1"/>
  <c r="G16" i="1"/>
  <c r="F16" i="1"/>
  <c r="E16" i="1"/>
  <c r="G13" i="1"/>
  <c r="F13" i="1"/>
  <c r="E13" i="1"/>
  <c r="G21" i="1"/>
  <c r="F21" i="1"/>
  <c r="E21" i="1"/>
  <c r="G20" i="1"/>
  <c r="F20" i="1"/>
  <c r="E20" i="1"/>
  <c r="G10" i="1"/>
  <c r="F10" i="1"/>
  <c r="E10" i="1"/>
  <c r="G3" i="1"/>
  <c r="F3" i="1"/>
  <c r="E3" i="1"/>
  <c r="G9" i="1"/>
  <c r="F9" i="1"/>
  <c r="E9" i="1"/>
  <c r="G15" i="1"/>
  <c r="F15" i="1"/>
  <c r="E15" i="1"/>
  <c r="G19" i="1"/>
  <c r="F19" i="1"/>
  <c r="E19" i="1"/>
  <c r="G11" i="1"/>
  <c r="F11" i="1"/>
  <c r="E11" i="1"/>
  <c r="G8" i="1"/>
  <c r="F8" i="1"/>
  <c r="E8" i="1"/>
  <c r="G12" i="1"/>
  <c r="F12" i="1"/>
  <c r="E12" i="1"/>
  <c r="G18" i="1"/>
  <c r="F18" i="1"/>
  <c r="E18" i="1"/>
  <c r="G24" i="1"/>
  <c r="F24" i="1"/>
  <c r="E24" i="1"/>
  <c r="G2" i="1"/>
  <c r="F2" i="1"/>
  <c r="E2" i="1"/>
  <c r="G17" i="1"/>
  <c r="F17" i="1"/>
  <c r="E17" i="1"/>
  <c r="G7" i="1"/>
  <c r="F7" i="1"/>
  <c r="E7" i="1"/>
  <c r="G23" i="1"/>
  <c r="F23" i="1"/>
  <c r="E23" i="1"/>
  <c r="D14" i="1"/>
  <c r="H14" i="1" s="1"/>
  <c r="C14" i="1"/>
  <c r="B14" i="1"/>
  <c r="D4" i="1"/>
  <c r="H4" i="1" s="1"/>
  <c r="C4" i="1"/>
  <c r="B4" i="1"/>
  <c r="D22" i="1"/>
  <c r="C22" i="1"/>
  <c r="B22" i="1"/>
  <c r="D38" i="1"/>
  <c r="H38" i="1" s="1"/>
  <c r="C38" i="1"/>
  <c r="B38" i="1"/>
  <c r="D48" i="1"/>
  <c r="C48" i="1"/>
  <c r="B48" i="1"/>
  <c r="D31" i="1"/>
  <c r="H31" i="1" s="1"/>
  <c r="C31" i="1"/>
  <c r="B31" i="1"/>
  <c r="D26" i="1"/>
  <c r="C26" i="1"/>
  <c r="B26" i="1"/>
  <c r="D30" i="1"/>
  <c r="H30" i="1" s="1"/>
  <c r="C30" i="1"/>
  <c r="B30" i="1"/>
  <c r="D47" i="1"/>
  <c r="H47" i="1" s="1"/>
  <c r="C47" i="1"/>
  <c r="B47" i="1"/>
  <c r="D35" i="1"/>
  <c r="H35" i="1" s="1"/>
  <c r="C35" i="1"/>
  <c r="B35" i="1"/>
  <c r="D29" i="1"/>
  <c r="H29" i="1" s="1"/>
  <c r="C29" i="1"/>
  <c r="B29" i="1"/>
  <c r="D40" i="1"/>
  <c r="C40" i="1"/>
  <c r="B40" i="1"/>
  <c r="D34" i="1"/>
  <c r="C34" i="1"/>
  <c r="B34" i="1"/>
  <c r="D55" i="1"/>
  <c r="H55" i="1" s="1"/>
  <c r="C55" i="1"/>
  <c r="B55" i="1"/>
  <c r="D54" i="1"/>
  <c r="H54" i="1" s="1"/>
  <c r="C54" i="1"/>
  <c r="B54" i="1"/>
  <c r="D28" i="1"/>
  <c r="H28" i="1" s="1"/>
  <c r="C28" i="1"/>
  <c r="B28" i="1"/>
  <c r="D53" i="1"/>
  <c r="H53" i="1" s="1"/>
  <c r="C53" i="1"/>
  <c r="B53" i="1"/>
  <c r="D52" i="1"/>
  <c r="H52" i="1" s="1"/>
  <c r="C52" i="1"/>
  <c r="B52" i="1"/>
  <c r="D41" i="1"/>
  <c r="C41" i="1"/>
  <c r="B41" i="1"/>
  <c r="D5" i="1"/>
  <c r="H5" i="1" s="1"/>
  <c r="C5" i="1"/>
  <c r="B5" i="1"/>
  <c r="D25" i="1"/>
  <c r="C25" i="1"/>
  <c r="B25" i="1"/>
  <c r="D51" i="1"/>
  <c r="H51" i="1" s="1"/>
  <c r="C51" i="1"/>
  <c r="B51" i="1"/>
  <c r="D27" i="1"/>
  <c r="C27" i="1"/>
  <c r="B27" i="1"/>
  <c r="D42" i="1"/>
  <c r="H42" i="1" s="1"/>
  <c r="C42" i="1"/>
  <c r="B42" i="1"/>
  <c r="D32" i="1"/>
  <c r="H32" i="1" s="1"/>
  <c r="C32" i="1"/>
  <c r="B32" i="1"/>
  <c r="D36" i="1"/>
  <c r="H36" i="1" s="1"/>
  <c r="C36" i="1"/>
  <c r="B36" i="1"/>
  <c r="D43" i="1"/>
  <c r="H43" i="1" s="1"/>
  <c r="C43" i="1"/>
  <c r="B43" i="1"/>
  <c r="D46" i="1"/>
  <c r="C46" i="1"/>
  <c r="B46" i="1"/>
  <c r="D33" i="1"/>
  <c r="C33" i="1"/>
  <c r="B33" i="1"/>
  <c r="D37" i="1"/>
  <c r="C37" i="1"/>
  <c r="B37" i="1"/>
  <c r="D50" i="1"/>
  <c r="H50" i="1" s="1"/>
  <c r="C50" i="1"/>
  <c r="B50" i="1"/>
  <c r="D6" i="1"/>
  <c r="H6" i="1" s="1"/>
  <c r="C6" i="1"/>
  <c r="B6" i="1"/>
  <c r="D45" i="1"/>
  <c r="H45" i="1" s="1"/>
  <c r="C45" i="1"/>
  <c r="B45" i="1"/>
  <c r="D44" i="1"/>
  <c r="H44" i="1" s="1"/>
  <c r="C44" i="1"/>
  <c r="B44" i="1"/>
  <c r="D39" i="1"/>
  <c r="C39" i="1"/>
  <c r="B39" i="1"/>
  <c r="D49" i="1"/>
  <c r="H49" i="1" s="1"/>
  <c r="C49" i="1"/>
  <c r="B49" i="1"/>
  <c r="D16" i="1"/>
  <c r="C16" i="1"/>
  <c r="B16" i="1"/>
  <c r="D13" i="1"/>
  <c r="H13" i="1" s="1"/>
  <c r="C13" i="1"/>
  <c r="B13" i="1"/>
  <c r="D21" i="1"/>
  <c r="C21" i="1"/>
  <c r="B21" i="1"/>
  <c r="D20" i="1"/>
  <c r="H20" i="1" s="1"/>
  <c r="C20" i="1"/>
  <c r="B20" i="1"/>
  <c r="D10" i="1"/>
  <c r="H10" i="1" s="1"/>
  <c r="C10" i="1"/>
  <c r="B10" i="1"/>
  <c r="D3" i="1"/>
  <c r="H3" i="1" s="1"/>
  <c r="C3" i="1"/>
  <c r="B3" i="1"/>
  <c r="D9" i="1"/>
  <c r="H9" i="1" s="1"/>
  <c r="C9" i="1"/>
  <c r="B9" i="1"/>
  <c r="D15" i="1"/>
  <c r="C15" i="1"/>
  <c r="B15" i="1"/>
  <c r="D19" i="1"/>
  <c r="C19" i="1"/>
  <c r="B19" i="1"/>
  <c r="D11" i="1"/>
  <c r="H11" i="1" s="1"/>
  <c r="C11" i="1"/>
  <c r="B11" i="1"/>
  <c r="D8" i="1"/>
  <c r="H8" i="1" s="1"/>
  <c r="C8" i="1"/>
  <c r="B8" i="1"/>
  <c r="D12" i="1"/>
  <c r="C12" i="1"/>
  <c r="B12" i="1"/>
  <c r="D18" i="1"/>
  <c r="H18" i="1" s="1"/>
  <c r="C18" i="1"/>
  <c r="B18" i="1"/>
  <c r="D24" i="1"/>
  <c r="H24" i="1" s="1"/>
  <c r="C24" i="1"/>
  <c r="B24" i="1"/>
  <c r="D2" i="1"/>
  <c r="C2" i="1"/>
  <c r="B2" i="1"/>
  <c r="D17" i="1"/>
  <c r="H17" i="1" s="1"/>
  <c r="C17" i="1"/>
  <c r="B17" i="1"/>
  <c r="D7" i="1"/>
  <c r="C7" i="1"/>
  <c r="B7" i="1"/>
  <c r="D23" i="1"/>
  <c r="H23" i="1" s="1"/>
  <c r="C23" i="1"/>
  <c r="B23" i="1"/>
  <c r="H7" i="1" l="1"/>
  <c r="H16" i="1"/>
  <c r="H2" i="1"/>
  <c r="H39" i="1"/>
  <c r="H41" i="1"/>
  <c r="H19" i="1"/>
  <c r="H33" i="1"/>
  <c r="H34" i="1"/>
  <c r="H21" i="1"/>
  <c r="H27" i="1"/>
  <c r="H26" i="1"/>
  <c r="H37" i="1"/>
  <c r="H15" i="1"/>
  <c r="H40" i="1"/>
  <c r="H25" i="1"/>
  <c r="H48" i="1"/>
  <c r="H12" i="1"/>
</calcChain>
</file>

<file path=xl/sharedStrings.xml><?xml version="1.0" encoding="utf-8"?>
<sst xmlns="http://schemas.openxmlformats.org/spreadsheetml/2006/main" count="243" uniqueCount="120">
  <si>
    <t>DTXSID</t>
  </si>
  <si>
    <t>DTXSID20874028</t>
  </si>
  <si>
    <t>DTXSID70379917</t>
  </si>
  <si>
    <t>DTXSID8037706</t>
  </si>
  <si>
    <t>DTXSID1032646</t>
  </si>
  <si>
    <t>DTXSID1067629</t>
  </si>
  <si>
    <t>DTXSID3038939</t>
  </si>
  <si>
    <t>DTXSID30891564</t>
  </si>
  <si>
    <t>DTXSID30170109</t>
  </si>
  <si>
    <t>DTXSID5030030</t>
  </si>
  <si>
    <t>DTXSID60663110</t>
  </si>
  <si>
    <t>DTXSID00192353</t>
  </si>
  <si>
    <t>DTXSID1037303</t>
  </si>
  <si>
    <t>DTXSID8037708</t>
  </si>
  <si>
    <t>DTXSID6067331</t>
  </si>
  <si>
    <t>DTXSID40880025</t>
  </si>
  <si>
    <t>DTXSID8031865</t>
  </si>
  <si>
    <t>DTXSID60500450</t>
  </si>
  <si>
    <t>DTXSID3031862</t>
  </si>
  <si>
    <t>DTXSID3031860</t>
  </si>
  <si>
    <t>DTXSID40380257</t>
  </si>
  <si>
    <t>DTXSID6062599</t>
  </si>
  <si>
    <t>DTXSID60380390</t>
  </si>
  <si>
    <t>DTXSID60892443</t>
  </si>
  <si>
    <t>DTXSID70191136</t>
  </si>
  <si>
    <t>DTXSID8059970</t>
  </si>
  <si>
    <t>DTXSID3031864</t>
  </si>
  <si>
    <t>DTXSID8059920</t>
  </si>
  <si>
    <t>DTXSID00880026</t>
  </si>
  <si>
    <t>DTXSID80108992</t>
  </si>
  <si>
    <t>DTXSID50226894</t>
  </si>
  <si>
    <t>DTXSID50892417</t>
  </si>
  <si>
    <t>DTXSID5061954</t>
  </si>
  <si>
    <t>DTXSID30382063</t>
  </si>
  <si>
    <t>DTXSID7040150</t>
  </si>
  <si>
    <t>DTXSID8031863</t>
  </si>
  <si>
    <t>DTXSID8051419</t>
  </si>
  <si>
    <t>DTXSID3037709</t>
  </si>
  <si>
    <t>DTXSID20179883</t>
  </si>
  <si>
    <t>DTXSID8047553</t>
  </si>
  <si>
    <t>DTXSID90315130</t>
  </si>
  <si>
    <t>DTXSID3037707</t>
  </si>
  <si>
    <t>DTXSID4059916</t>
  </si>
  <si>
    <t>DTXSID90868151</t>
  </si>
  <si>
    <t>DTXSID70565479</t>
  </si>
  <si>
    <t>DTXSID00379268</t>
  </si>
  <si>
    <t>DTXSID80380256</t>
  </si>
  <si>
    <t>DTXSID40187142</t>
  </si>
  <si>
    <t>DTXSID80382154</t>
  </si>
  <si>
    <t>DTXSID80380837</t>
  </si>
  <si>
    <t>DTXSID50381073</t>
  </si>
  <si>
    <t>DTXSID50469320</t>
  </si>
  <si>
    <t>DTXSID90382620</t>
  </si>
  <si>
    <t>DTXSID50379814</t>
  </si>
  <si>
    <t>DTXSID3059921</t>
  </si>
  <si>
    <t>Compound</t>
  </si>
  <si>
    <t>ManualClint</t>
  </si>
  <si>
    <t>ManualClintpValue</t>
  </si>
  <si>
    <t>BayesClint</t>
  </si>
  <si>
    <t>BayesClintpValue</t>
  </si>
  <si>
    <t>BayesDegradepValue</t>
  </si>
  <si>
    <t>ClintpValueAgree</t>
  </si>
  <si>
    <t>Y</t>
  </si>
  <si>
    <t>N-Ethylperfluorooctanesulfonamide</t>
  </si>
  <si>
    <t>N</t>
  </si>
  <si>
    <t>Ammonium perfluorooctanoate</t>
  </si>
  <si>
    <t>Perfluoro(2-ethoxyethane)sulfonic acid</t>
  </si>
  <si>
    <t>Sig</t>
  </si>
  <si>
    <t>Perfluorononanoic acid</t>
  </si>
  <si>
    <t>Sodium perfluorodecanesulfonate</t>
  </si>
  <si>
    <t>6:3 Fluorotelomer carboxylic acid</t>
  </si>
  <si>
    <t>3,3-Bis(trifluoromethyl)-2-propenoic acid</t>
  </si>
  <si>
    <t>Perfluoroheptanoic acid</t>
  </si>
  <si>
    <t>6:2 Fluorotelomer sulfonic acid</t>
  </si>
  <si>
    <t>Perfluorobutanesulfonic acid</t>
  </si>
  <si>
    <t>4:2 Fluorotelomer sulfonic acid</t>
  </si>
  <si>
    <t>Perfluoro(4-methoxybutanoic) acid</t>
  </si>
  <si>
    <t>Perfluorotetradecanoic acid</t>
  </si>
  <si>
    <t>8:2 Fluorotelomer sulfonic acid</t>
  </si>
  <si>
    <t>Perfluorohexanoic acid</t>
  </si>
  <si>
    <t>Potassium perfluorooctanesulfonate</t>
  </si>
  <si>
    <t>Perfluorooctanesulfonamide</t>
  </si>
  <si>
    <t>Perfluoro-4-isopropoxybutanoic acid</t>
  </si>
  <si>
    <t>Sodium perfluorooctanoate</t>
  </si>
  <si>
    <t>Perfluorooctanoic acid</t>
  </si>
  <si>
    <t>3-Perfluoroheptylpropanoic acid (7:3 FTCA)</t>
  </si>
  <si>
    <t>2H,2H,3H,3H-Perfluorooctanoic acid</t>
  </si>
  <si>
    <t>N-Methylperfluorooctanesulfonamide</t>
  </si>
  <si>
    <t>Perfluorohexanesulfonic acid</t>
  </si>
  <si>
    <t>Perfluoroheptanoyl chloride</t>
  </si>
  <si>
    <t>NS</t>
  </si>
  <si>
    <t>11-H-Perfluoroundecanoic acid</t>
  </si>
  <si>
    <t>Perfluoroundecanoic acid</t>
  </si>
  <si>
    <t>8H-Perfluorooctanoic acid</t>
  </si>
  <si>
    <t>Pentadecafluorooctanoyl chloride</t>
  </si>
  <si>
    <t>Perfluoro-3,6,9-trioxadecanoic acid (PFPE-4)</t>
  </si>
  <si>
    <t>9-H-Perfluorononanoic acid</t>
  </si>
  <si>
    <t>Perfluorooctanesulfonic acid</t>
  </si>
  <si>
    <t>Perfluorobutanoic acid</t>
  </si>
  <si>
    <t>3:3 Fluorotelomer carboxylic acid</t>
  </si>
  <si>
    <t>Perfluorooctanesulfonate</t>
  </si>
  <si>
    <t>Perfluoropropanoic acid</t>
  </si>
  <si>
    <t>Perfluorohexanesulfonamide</t>
  </si>
  <si>
    <t>3-(Perfluoroisopropyl)-2-propenoic acid</t>
  </si>
  <si>
    <t>Perfluorotridecanoic acid</t>
  </si>
  <si>
    <t>Perfluorooctanesulfonamido ammonium iodide</t>
  </si>
  <si>
    <t>4H-Perfluorobutanoic acid</t>
  </si>
  <si>
    <t>Potassium perfluorooctanoate</t>
  </si>
  <si>
    <t>Perfluoropentanoic acid</t>
  </si>
  <si>
    <t>2,2,2-Trifluoroethyl perfluorobutanesulfonate</t>
  </si>
  <si>
    <t>Perfluoroheptanesulfonic acid</t>
  </si>
  <si>
    <t>4,4-bis(Trifluoromethyl)-4-fluoropropanoic acid</t>
  </si>
  <si>
    <t>Perfluoro-3,6-dioxadecanoic acid (PFPE-5)</t>
  </si>
  <si>
    <t>Perfluorodecanoic acid</t>
  </si>
  <si>
    <t>Perfluoro-3-methoxypropanoic acid</t>
  </si>
  <si>
    <t>Perfluoro-3,6-dioxaheptanoic acid</t>
  </si>
  <si>
    <t>Potassium perfluorohexanesulfonate</t>
  </si>
  <si>
    <t>2-(Perfluorohexyl)ethylphosphonic acid</t>
  </si>
  <si>
    <t>Perfluoro-1-octanesulfonyl chloride</t>
  </si>
  <si>
    <t>Potassium perfluorobutanesulfonate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</si>
</sst>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0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0"/>
      <name val="Calibri"/>
      <family val="2"/>
      <scheme val="minor"/>
    </font>
    <font>
      <b/>
      <sz val="11"/>
      <color theme="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/>
        <bgColor theme="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4"/>
      </top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shrinkToFit="1"/>
    </xf>
    <xf numFmtId="0" fontId="2" fillId="0" borderId="1" xfId="0" applyFont="1" applyBorder="1" applyAlignment="1">
      <alignment horizontal="center"/>
    </xf>
    <xf numFmtId="0" fontId="0" fillId="0" borderId="2" xfId="0" applyFont="1" applyBorder="1"/>
    <xf numFmtId="0" fontId="0" fillId="0" borderId="3" xfId="0" applyFont="1" applyBorder="1"/>
    <xf numFmtId="0" fontId="5" fillId="2" borderId="4" xfId="0" applyFont="1" applyFill="1" applyBorder="1" applyAlignment="1">
      <alignment horizontal="center" vertical="center" wrapText="1"/>
    </xf>
    <xf numFmtId="0" fontId="4" fillId="3" borderId="0" xfId="0" applyFont="1" applyFill="1" applyBorder="1"/>
  </cellXfs>
  <cellStyles count="1">
    <cellStyle name="Normal" xfId="0" builtinId="0"/>
  </cellStyles>
  <dxfs count="1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right style="thin">
          <color theme="4"/>
        </right>
        <top style="thin">
          <color theme="4"/>
        </top>
      </border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wambaug\AppData\Local\Microsoft\Windows\INetCache\Content.Outlook\WJ7EVO2F\PFAS_Hep_Cl_Supp_Tables_20240328_To_TechRev2.xlsx" TargetMode="External"/><Relationship Id="rId1" Type="http://schemas.openxmlformats.org/officeDocument/2006/relationships/externalLinkPath" Target="/Users/jwambaug/AppData/Local/Microsoft/Windows/INetCache/Content.Outlook/WJ7EVO2F/PFAS_Hep_Cl_Supp_Tables_20240328_To_TechRev2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wambaug\git\invitrotkstats\working\CrizerPFAS\CrizerPFASApr2024-Clint-Level4.xlsx" TargetMode="External"/><Relationship Id="rId1" Type="http://schemas.openxmlformats.org/officeDocument/2006/relationships/externalLinkPath" Target="CrizerPFASApr2024-Clint-Level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bleS guide"/>
      <sheetName val="Table_S1_Chemical_Info"/>
      <sheetName val="Table_S2_Anal_Method info"/>
      <sheetName val="Table_S3_PFAS_IS_Method Info"/>
      <sheetName val="Table_S4_Clint_Data_Summary"/>
      <sheetName val="Table_S6_IVIVE_Calculations"/>
      <sheetName val="Table_S7_CTS_Outputs-Metabolism"/>
      <sheetName val="Table_S8_CTS_Outputs -Environ"/>
    </sheetNames>
    <sheetDataSet>
      <sheetData sheetId="0"/>
      <sheetData sheetId="1"/>
      <sheetData sheetId="2"/>
      <sheetData sheetId="3"/>
      <sheetData sheetId="4">
        <row r="2">
          <cell r="A2" t="str">
            <v>11-H-Perfluoroundecanoic acid</v>
          </cell>
          <cell r="B2" t="str">
            <v>DTXSID5061954</v>
          </cell>
          <cell r="C2" t="str">
            <v>1765-48-6</v>
          </cell>
          <cell r="D2" t="str">
            <v>11-H-Perfluoroundecanoic acid (11H-PFUnDA)</v>
          </cell>
          <cell r="E2" t="str">
            <v>1-H PFCAs</v>
          </cell>
          <cell r="F2" t="str">
            <v>EPA</v>
          </cell>
          <cell r="G2">
            <v>0</v>
          </cell>
          <cell r="H2">
            <v>0.33810000000000001</v>
          </cell>
          <cell r="I2">
            <v>0</v>
          </cell>
        </row>
        <row r="3">
          <cell r="A3" t="str">
            <v>4H-Perfluorobutanoic acid</v>
          </cell>
          <cell r="B3" t="str">
            <v>DTXSID50892417</v>
          </cell>
          <cell r="C3" t="str">
            <v>679-12-9</v>
          </cell>
          <cell r="D3" t="str">
            <v>4H-perfluorobutanoic acid (4H-PFBA)</v>
          </cell>
          <cell r="E3" t="str">
            <v>1-H PFCAs</v>
          </cell>
          <cell r="F3" t="str">
            <v>DTT</v>
          </cell>
          <cell r="G3">
            <v>0.9</v>
          </cell>
          <cell r="H3">
            <v>0.28860000000000002</v>
          </cell>
          <cell r="I3">
            <v>0</v>
          </cell>
        </row>
        <row r="4">
          <cell r="A4" t="str">
            <v>8H-Perfluorooctanoic acid</v>
          </cell>
          <cell r="B4" t="str">
            <v>DTXSID70565479</v>
          </cell>
          <cell r="C4" t="str">
            <v>13973-14-3</v>
          </cell>
          <cell r="D4" t="str">
            <v>8H-Perfluorooctanoic acid (8H-PFOA)</v>
          </cell>
          <cell r="E4" t="str">
            <v>1-H PFCAs</v>
          </cell>
          <cell r="F4" t="str">
            <v>EPA</v>
          </cell>
          <cell r="G4">
            <v>0</v>
          </cell>
          <cell r="H4" t="str">
            <v>NS</v>
          </cell>
          <cell r="I4">
            <v>0</v>
          </cell>
        </row>
        <row r="5">
          <cell r="A5" t="str">
            <v>9-H-Perfluorononanoic acid</v>
          </cell>
          <cell r="B5" t="str">
            <v>DTXSID50226894</v>
          </cell>
          <cell r="C5" t="str">
            <v>76-21-1</v>
          </cell>
          <cell r="D5" t="str">
            <v>9-H-Perfluorononanoic acid (9H-PFNA)</v>
          </cell>
          <cell r="E5" t="str">
            <v>1-H PFCAs</v>
          </cell>
          <cell r="F5" t="str">
            <v>EPA</v>
          </cell>
          <cell r="G5">
            <v>0</v>
          </cell>
          <cell r="H5">
            <v>0.26119999999999999</v>
          </cell>
          <cell r="I5">
            <v>0</v>
          </cell>
        </row>
        <row r="6">
          <cell r="A6" t="str">
            <v>2-(Perfluorohexyl)ethylphosphonic acid</v>
          </cell>
          <cell r="B6" t="str">
            <v>DTXSID20179883</v>
          </cell>
          <cell r="C6" t="str">
            <v>252237-40-4</v>
          </cell>
          <cell r="D6" t="str">
            <v>2-(Perfluorohexyl)ethyl phosphonic acid</v>
          </cell>
          <cell r="E6" t="str">
            <v>n:2 FTPAs</v>
          </cell>
          <cell r="F6" t="str">
            <v>DTT</v>
          </cell>
          <cell r="G6">
            <v>0.71</v>
          </cell>
          <cell r="H6">
            <v>0.5272</v>
          </cell>
          <cell r="I6">
            <v>0</v>
          </cell>
        </row>
        <row r="7">
          <cell r="A7" t="str">
            <v>4:2 Fluorotelomer sulfonic acid</v>
          </cell>
          <cell r="B7" t="str">
            <v>DTXSID30891564</v>
          </cell>
          <cell r="C7" t="str">
            <v>757124-72-4</v>
          </cell>
          <cell r="D7" t="str">
            <v>4:2 Fluorotelomer sulfonic acid (4:2-FTS)</v>
          </cell>
          <cell r="E7" t="str">
            <v>n:2 FTSAs</v>
          </cell>
          <cell r="F7" t="str">
            <v>DTT</v>
          </cell>
          <cell r="G7">
            <v>4.28</v>
          </cell>
          <cell r="H7">
            <v>4.0000000000000002E-4</v>
          </cell>
          <cell r="I7">
            <v>4.28</v>
          </cell>
        </row>
        <row r="8">
          <cell r="A8" t="str">
            <v>6:2 Fluorotelomer sulfonic acid</v>
          </cell>
          <cell r="B8" t="str">
            <v>DTXSID6067331</v>
          </cell>
          <cell r="C8" t="str">
            <v>27619-97-2</v>
          </cell>
          <cell r="D8" t="str">
            <v>6:2 Fluorotelomer sulfonic acid (6:2 FTS)</v>
          </cell>
          <cell r="E8" t="str">
            <v>n:2 FTSAs</v>
          </cell>
          <cell r="F8" t="str">
            <v>EPA</v>
          </cell>
          <cell r="G8">
            <v>1.401</v>
          </cell>
          <cell r="H8">
            <v>2.2700000000000001E-2</v>
          </cell>
          <cell r="I8">
            <v>1.401</v>
          </cell>
        </row>
        <row r="9">
          <cell r="A9" t="str">
            <v>8:2 Fluorotelomer sulfonic acid</v>
          </cell>
          <cell r="B9" t="str">
            <v>DTXSID00192353</v>
          </cell>
          <cell r="C9" t="str">
            <v>39108-34-4</v>
          </cell>
          <cell r="D9" t="str">
            <v>8:2 Fluorotelomer sulfonic acid (8:2 FTS)</v>
          </cell>
          <cell r="E9" t="str">
            <v>n:2 FTSAs</v>
          </cell>
          <cell r="F9" t="str">
            <v>EPA</v>
          </cell>
          <cell r="G9">
            <v>1.5284</v>
          </cell>
          <cell r="H9">
            <v>4.4999999999999997E-3</v>
          </cell>
          <cell r="I9">
            <v>1.53</v>
          </cell>
        </row>
        <row r="10">
          <cell r="A10" t="str">
            <v>2H,2H,3H,3H-Perfluorooctanoic acid</v>
          </cell>
          <cell r="B10" t="str">
            <v>DTXSID20874028</v>
          </cell>
          <cell r="C10" t="str">
            <v>914637-49-3</v>
          </cell>
          <cell r="D10" t="str">
            <v>2H,2H,3H,3H-Perfluorooctanoic acid (5:3 FTCA)</v>
          </cell>
          <cell r="E10" t="str">
            <v>n:3 acids</v>
          </cell>
          <cell r="F10" t="str">
            <v>DTT</v>
          </cell>
          <cell r="G10">
            <v>11.84</v>
          </cell>
          <cell r="H10">
            <v>1E-4</v>
          </cell>
          <cell r="I10">
            <v>11.84</v>
          </cell>
        </row>
        <row r="11">
          <cell r="A11" t="str">
            <v>3:3 Fluorotelomer carboxylic acid</v>
          </cell>
          <cell r="B11" t="str">
            <v>DTXSID00379268</v>
          </cell>
          <cell r="C11"/>
          <cell r="D11" t="str">
            <v>3:3 Fluorotelomer carboxylic acid (3:3 FTCA)</v>
          </cell>
          <cell r="E11" t="str">
            <v>n:3 acids</v>
          </cell>
          <cell r="F11" t="str">
            <v>EPA</v>
          </cell>
          <cell r="G11">
            <v>0</v>
          </cell>
          <cell r="H11" t="str">
            <v>NS</v>
          </cell>
          <cell r="I11">
            <v>0</v>
          </cell>
        </row>
        <row r="12">
          <cell r="A12" t="str">
            <v>3-Perfluoroheptylpropanoic acid (7:3 FTCA)</v>
          </cell>
          <cell r="B12" t="str">
            <v>DTXSID90382620</v>
          </cell>
          <cell r="C12" t="str">
            <v>812-70-4</v>
          </cell>
          <cell r="D12" t="str">
            <v>3-Perfluoroheptylpropanoic acid (7:3 FTCA)</v>
          </cell>
          <cell r="E12" t="str">
            <v>n:3 acids</v>
          </cell>
          <cell r="F12" t="str">
            <v>EPA</v>
          </cell>
          <cell r="G12">
            <v>19.736000000000001</v>
          </cell>
          <cell r="H12" t="str">
            <v>Sig</v>
          </cell>
          <cell r="I12">
            <v>13.21</v>
          </cell>
        </row>
        <row r="13">
          <cell r="A13" t="str">
            <v>4,4-bis(Trifluoromethyl)-4-fluoropropanoic acid</v>
          </cell>
          <cell r="B13" t="str">
            <v>DTXSID80380256</v>
          </cell>
          <cell r="C13" t="str">
            <v>243139-62-0</v>
          </cell>
          <cell r="D13" t="str">
            <v>4,4-bis(Trifluoromethyl)-4-fluoropropanoic acid</v>
          </cell>
          <cell r="E13" t="str">
            <v>n:3 acids</v>
          </cell>
          <cell r="F13" t="str">
            <v>EPA</v>
          </cell>
          <cell r="G13">
            <v>0</v>
          </cell>
          <cell r="H13" t="str">
            <v>NS</v>
          </cell>
          <cell r="I13">
            <v>0</v>
          </cell>
        </row>
        <row r="14">
          <cell r="A14" t="str">
            <v>6:3 Fluorotelomer carboxylic acid</v>
          </cell>
          <cell r="B14" t="str">
            <v>DTXSID70379917</v>
          </cell>
          <cell r="C14"/>
          <cell r="D14" t="str">
            <v>6:3 Fluorotelomer carboxylic acid (6:3 FTCA)</v>
          </cell>
          <cell r="E14" t="str">
            <v>n:3 acids</v>
          </cell>
          <cell r="F14" t="str">
            <v>EPA</v>
          </cell>
          <cell r="G14">
            <v>5.0460000000000003</v>
          </cell>
          <cell r="H14">
            <v>1E-4</v>
          </cell>
          <cell r="I14">
            <v>5.0460000000000003</v>
          </cell>
        </row>
        <row r="15">
          <cell r="A15" t="str">
            <v>3-(Perfluoroisopropyl)-2-propenoic acid</v>
          </cell>
          <cell r="B15" t="str">
            <v>DTXSID40380257</v>
          </cell>
          <cell r="C15" t="str">
            <v>243139-64-2</v>
          </cell>
          <cell r="D15" t="str">
            <v>3-(Perfluoroisopropyl)-2-propenoic acid</v>
          </cell>
          <cell r="E15" t="str">
            <v>NA</v>
          </cell>
          <cell r="F15" t="str">
            <v>DTT</v>
          </cell>
          <cell r="G15">
            <v>1.23</v>
          </cell>
          <cell r="H15">
            <v>7.9600000000000004E-2</v>
          </cell>
          <cell r="I15">
            <v>0</v>
          </cell>
        </row>
        <row r="16">
          <cell r="A16" t="str">
            <v>3,3-Bis(trifluoromethyl)-2-propenoic acid</v>
          </cell>
          <cell r="B16" t="str">
            <v>DTXSID30170109</v>
          </cell>
          <cell r="C16" t="str">
            <v>1763-28-6</v>
          </cell>
          <cell r="D16" t="str">
            <v>3,3-Bis(trifluoromethyl)-2-propenoic acid</v>
          </cell>
          <cell r="E16" t="str">
            <v>NA</v>
          </cell>
          <cell r="F16" t="str">
            <v>DTT</v>
          </cell>
          <cell r="G16">
            <v>1.82</v>
          </cell>
          <cell r="H16">
            <v>4.0000000000000002E-4</v>
          </cell>
          <cell r="I16">
            <v>1.82</v>
          </cell>
        </row>
        <row r="17">
          <cell r="A17" t="str">
            <v>Ammonium perfluorooctanoate</v>
          </cell>
          <cell r="B17" t="str">
            <v>DTXSID8037708</v>
          </cell>
          <cell r="C17" t="str">
            <v>3825-26-1</v>
          </cell>
          <cell r="D17" t="str">
            <v>Ammonium perfluorooctanoate (NH4PFOA)</v>
          </cell>
          <cell r="E17" t="str">
            <v>PFCAs</v>
          </cell>
          <cell r="F17" t="str">
            <v>DTT</v>
          </cell>
          <cell r="G17">
            <v>2.06</v>
          </cell>
          <cell r="H17">
            <v>2.1700000000000001E-2</v>
          </cell>
          <cell r="I17">
            <v>2.06</v>
          </cell>
        </row>
        <row r="18">
          <cell r="A18" t="str">
            <v>Perfluorobutanoic acid</v>
          </cell>
          <cell r="B18" t="str">
            <v>DTXSID4059916</v>
          </cell>
          <cell r="C18" t="str">
            <v>375-22-4</v>
          </cell>
          <cell r="D18" t="str">
            <v>Perfluorobutanoic acid (PFBA)</v>
          </cell>
          <cell r="E18" t="str">
            <v>PFCAs</v>
          </cell>
          <cell r="F18" t="str">
            <v>DTT</v>
          </cell>
          <cell r="G18">
            <v>0.08</v>
          </cell>
          <cell r="H18">
            <v>0.91290000000000004</v>
          </cell>
          <cell r="I18">
            <v>0</v>
          </cell>
        </row>
        <row r="19">
          <cell r="A19" t="str">
            <v>Perfluorodecanoic acid</v>
          </cell>
          <cell r="B19" t="str">
            <v>DTXSID3031860</v>
          </cell>
          <cell r="C19" t="str">
            <v>335-76-2</v>
          </cell>
          <cell r="D19" t="str">
            <v>Perfluorodecanoic acid (PFDA)</v>
          </cell>
          <cell r="E19" t="str">
            <v>PFCAs</v>
          </cell>
          <cell r="F19" t="str">
            <v>DTT</v>
          </cell>
          <cell r="G19">
            <v>0</v>
          </cell>
          <cell r="H19">
            <v>7.3800000000000004E-2</v>
          </cell>
          <cell r="I19">
            <v>0</v>
          </cell>
        </row>
        <row r="20">
          <cell r="A20" t="str">
            <v>Perfluoroheptanoic acid</v>
          </cell>
          <cell r="B20" t="str">
            <v>DTXSID1037303</v>
          </cell>
          <cell r="C20" t="str">
            <v>375-85-9</v>
          </cell>
          <cell r="D20" t="str">
            <v>Perfluoroheptanoic acid (PFHpA)</v>
          </cell>
          <cell r="E20" t="str">
            <v>PFCAs</v>
          </cell>
          <cell r="F20" t="str">
            <v>DTT</v>
          </cell>
          <cell r="G20">
            <v>3.12</v>
          </cell>
          <cell r="H20">
            <v>4.8999999999999998E-3</v>
          </cell>
          <cell r="I20">
            <v>3.12</v>
          </cell>
        </row>
        <row r="21">
          <cell r="A21" t="str">
            <v>Perfluorohexanoic acid</v>
          </cell>
          <cell r="B21" t="str">
            <v>DTXSID3031862</v>
          </cell>
          <cell r="C21" t="str">
            <v>307-24-4</v>
          </cell>
          <cell r="D21" t="str">
            <v>Perfluorohexanoic acid (PFHxA)</v>
          </cell>
          <cell r="E21" t="str">
            <v>PFCAs</v>
          </cell>
          <cell r="F21" t="str">
            <v>DTT</v>
          </cell>
          <cell r="G21">
            <v>1.62</v>
          </cell>
          <cell r="H21">
            <v>4.1099999999999998E-2</v>
          </cell>
          <cell r="I21">
            <v>1.62</v>
          </cell>
        </row>
        <row r="22">
          <cell r="A22" t="str">
            <v>Perfluorononanoic acid</v>
          </cell>
          <cell r="B22" t="str">
            <v>DTXSID8031863</v>
          </cell>
          <cell r="C22" t="str">
            <v>375-95-1</v>
          </cell>
          <cell r="D22" t="str">
            <v>Perfluorononanoic acid (PFNA)</v>
          </cell>
          <cell r="E22" t="str">
            <v>PFCAs</v>
          </cell>
          <cell r="F22" t="str">
            <v>DTT</v>
          </cell>
          <cell r="G22">
            <v>0.83</v>
          </cell>
          <cell r="H22">
            <v>0.38319999999999999</v>
          </cell>
          <cell r="I22">
            <v>0</v>
          </cell>
        </row>
        <row r="23">
          <cell r="A23" t="str">
            <v>Perfluorooctanoic acid</v>
          </cell>
          <cell r="B23" t="str">
            <v>DTXSID8031865</v>
          </cell>
          <cell r="C23" t="str">
            <v>335-67-1</v>
          </cell>
          <cell r="D23" t="str">
            <v>Perfluorooctanoic acid (PFOA)</v>
          </cell>
          <cell r="E23" t="str">
            <v>PFCAs</v>
          </cell>
          <cell r="F23" t="str">
            <v>DTT</v>
          </cell>
          <cell r="G23">
            <v>1.49</v>
          </cell>
          <cell r="H23">
            <v>3.2099999999999997E-2</v>
          </cell>
          <cell r="I23">
            <v>1.49</v>
          </cell>
        </row>
        <row r="24">
          <cell r="A24" t="str">
            <v>Perfluoropentanoic acid</v>
          </cell>
          <cell r="B24" t="str">
            <v>DTXSID6062599</v>
          </cell>
          <cell r="C24" t="str">
            <v>2706-90-3</v>
          </cell>
          <cell r="D24" t="str">
            <v>Perfluoropentanoic acid (PFPeA)</v>
          </cell>
          <cell r="E24" t="str">
            <v>PFCAs</v>
          </cell>
          <cell r="F24" t="str">
            <v>DTT</v>
          </cell>
          <cell r="G24">
            <v>2.13</v>
          </cell>
          <cell r="H24">
            <v>8.1199999999999994E-2</v>
          </cell>
          <cell r="I24">
            <v>0</v>
          </cell>
        </row>
        <row r="25">
          <cell r="A25" t="str">
            <v>Perfluoropropanoic acid</v>
          </cell>
          <cell r="B25" t="str">
            <v>DTXSID8059970</v>
          </cell>
          <cell r="C25" t="str">
            <v>422-64-0</v>
          </cell>
          <cell r="D25" t="str">
            <v>Perfluoropropanoic acid (PFPrA)</v>
          </cell>
          <cell r="E25" t="str">
            <v>PFCAs</v>
          </cell>
          <cell r="F25" t="str">
            <v>DTT</v>
          </cell>
          <cell r="G25">
            <v>0.59</v>
          </cell>
          <cell r="H25">
            <v>0.1434</v>
          </cell>
          <cell r="I25">
            <v>0</v>
          </cell>
        </row>
        <row r="26">
          <cell r="A26" t="str">
            <v>Perfluorotetradecanoic acid</v>
          </cell>
          <cell r="B26" t="str">
            <v>DTXSID3059921</v>
          </cell>
          <cell r="C26" t="str">
            <v>376-06-7</v>
          </cell>
          <cell r="D26" t="str">
            <v>Perfluorotetradecanoic acid (PFTeDA)</v>
          </cell>
          <cell r="E26" t="str">
            <v>PFCAs</v>
          </cell>
          <cell r="F26" t="str">
            <v>DTT</v>
          </cell>
          <cell r="G26">
            <v>0</v>
          </cell>
          <cell r="H26"/>
          <cell r="I26">
            <v>0</v>
          </cell>
        </row>
        <row r="27">
          <cell r="A27" t="str">
            <v>Perfluorotridecanoic acid</v>
          </cell>
          <cell r="B27" t="str">
            <v>DTXSID90868151</v>
          </cell>
          <cell r="C27" t="str">
            <v>72629-94-8</v>
          </cell>
          <cell r="D27" t="str">
            <v>Perfluorotridecanoic acid (PFTrDA)</v>
          </cell>
          <cell r="E27" t="str">
            <v>PFCAs</v>
          </cell>
          <cell r="F27" t="str">
            <v>DTT</v>
          </cell>
          <cell r="G27">
            <v>0</v>
          </cell>
          <cell r="H27">
            <v>0.9617</v>
          </cell>
          <cell r="I27">
            <v>0</v>
          </cell>
        </row>
        <row r="28">
          <cell r="A28" t="str">
            <v>Perfluoroundecanoic acid</v>
          </cell>
          <cell r="B28" t="str">
            <v>DTXSID8047553</v>
          </cell>
          <cell r="C28" t="str">
            <v>2058-94-8</v>
          </cell>
          <cell r="D28" t="str">
            <v>Perfluoroundecanoic acid (PFUnDA)</v>
          </cell>
          <cell r="E28" t="str">
            <v>PFCAs</v>
          </cell>
          <cell r="F28" t="str">
            <v>EPA</v>
          </cell>
          <cell r="G28">
            <v>0</v>
          </cell>
          <cell r="H28">
            <v>0.55379999999999996</v>
          </cell>
          <cell r="I28">
            <v>0</v>
          </cell>
        </row>
        <row r="29">
          <cell r="A29" t="str">
            <v>Potassium perfluorooctanoate</v>
          </cell>
          <cell r="B29" t="str">
            <v>DTXSID00880026</v>
          </cell>
          <cell r="C29" t="str">
            <v>2395-00-8</v>
          </cell>
          <cell r="D29" t="str">
            <v>Potassium perfluorooctanoate (KPFOA)</v>
          </cell>
          <cell r="E29" t="str">
            <v>PFCAs</v>
          </cell>
          <cell r="F29" t="str">
            <v>DTT</v>
          </cell>
          <cell r="G29">
            <v>0</v>
          </cell>
          <cell r="H29">
            <v>0.2505</v>
          </cell>
          <cell r="I29">
            <v>0</v>
          </cell>
        </row>
        <row r="30">
          <cell r="A30" t="str">
            <v>Sodium perfluorooctanoate</v>
          </cell>
          <cell r="B30" t="str">
            <v>DTXSID40880025</v>
          </cell>
          <cell r="C30" t="str">
            <v>335-95-5</v>
          </cell>
          <cell r="D30" t="str">
            <v>Sodium perfluorooctanoate (NaPFOA)</v>
          </cell>
          <cell r="E30" t="str">
            <v>PFCAs</v>
          </cell>
          <cell r="F30" t="str">
            <v>DTT</v>
          </cell>
          <cell r="G30">
            <v>2.34</v>
          </cell>
          <cell r="H30">
            <v>2.9600000000000001E-2</v>
          </cell>
          <cell r="I30">
            <v>2.34</v>
          </cell>
        </row>
        <row r="31">
          <cell r="A31" t="str">
            <v>Pentadecafluorooctanoyl chloride</v>
          </cell>
          <cell r="B31" t="str">
            <v>DTXSID40187142</v>
          </cell>
          <cell r="C31" t="str">
            <v>335-64-8</v>
          </cell>
          <cell r="D31" t="str">
            <v>Pentadecafluorooctanoyl chloride (PFOA-Cl)</v>
          </cell>
          <cell r="E31" t="str">
            <v>PFC-halides</v>
          </cell>
          <cell r="F31" t="str">
            <v>EPA</v>
          </cell>
          <cell r="G31">
            <v>0</v>
          </cell>
          <cell r="H31" t="str">
            <v>NS</v>
          </cell>
          <cell r="I31">
            <v>0</v>
          </cell>
        </row>
        <row r="32">
          <cell r="A32" t="str">
            <v>Perfluoroheptanoyl chloride</v>
          </cell>
          <cell r="B32" t="str">
            <v>DTXSID80382154</v>
          </cell>
          <cell r="C32" t="str">
            <v>52447-22-0</v>
          </cell>
          <cell r="D32" t="str">
            <v>Perfluoroheptanoyl chloride (PFHpA-Cl)</v>
          </cell>
          <cell r="E32" t="str">
            <v>PFC-halides</v>
          </cell>
          <cell r="F32" t="str">
            <v>EPA</v>
          </cell>
          <cell r="G32">
            <v>0</v>
          </cell>
          <cell r="H32" t="str">
            <v>NS</v>
          </cell>
          <cell r="I32">
            <v>0</v>
          </cell>
        </row>
        <row r="33">
          <cell r="A33" t="str">
            <v>Perfluoro(4-methoxybutanoic) acid</v>
          </cell>
          <cell r="B33" t="str">
            <v>DTXSID60500450</v>
          </cell>
          <cell r="C33" t="str">
            <v>863090-89-5</v>
          </cell>
          <cell r="D33" t="str">
            <v>Perfluoro(4-methoxybutanoic) acid (PFPE-7)</v>
          </cell>
          <cell r="E33" t="str">
            <v>PFECAs</v>
          </cell>
          <cell r="F33" t="str">
            <v>DTT</v>
          </cell>
          <cell r="G33">
            <v>1.5</v>
          </cell>
          <cell r="H33">
            <v>3.8600000000000002E-2</v>
          </cell>
          <cell r="I33">
            <v>1.5</v>
          </cell>
        </row>
        <row r="34">
          <cell r="A34" t="str">
            <v>Perfluoro-3,6,9-trioxadecanoic acid (PFPE-4)</v>
          </cell>
          <cell r="B34" t="str">
            <v>DTXSID80380837</v>
          </cell>
          <cell r="C34" t="str">
            <v>151772-59-7</v>
          </cell>
          <cell r="D34" t="str">
            <v>Perfluoro-3,6,9-trioxadecanoic acid (PFPE-4)</v>
          </cell>
          <cell r="E34" t="str">
            <v>PFECAs</v>
          </cell>
          <cell r="F34" t="str">
            <v>EPA</v>
          </cell>
          <cell r="G34">
            <v>0</v>
          </cell>
          <cell r="H34" t="str">
            <v>NS</v>
          </cell>
          <cell r="I34">
            <v>0</v>
          </cell>
        </row>
        <row r="35">
          <cell r="A35" t="str">
            <v>Perfluoro-3,6-dioxadecanoic acid (PFPE-5)</v>
          </cell>
          <cell r="B35" t="str">
            <v>DTXSID50381073</v>
          </cell>
          <cell r="C35" t="str">
            <v>137780-69-9</v>
          </cell>
          <cell r="D35" t="str">
            <v>Perfluoro-3,6-dioxadecanoic acid (PFPE-5)</v>
          </cell>
          <cell r="E35" t="str">
            <v>PFECAs</v>
          </cell>
          <cell r="F35" t="str">
            <v>EPA</v>
          </cell>
          <cell r="G35">
            <v>0</v>
          </cell>
          <cell r="H35" t="str">
            <v>NS</v>
          </cell>
          <cell r="I35">
            <v>0</v>
          </cell>
        </row>
        <row r="36">
          <cell r="A36" t="str">
            <v>Perfluoro-3,6-dioxaheptanoic acid</v>
          </cell>
          <cell r="B36" t="str">
            <v>DTXSID30382063</v>
          </cell>
          <cell r="C36" t="str">
            <v>151772-58-6</v>
          </cell>
          <cell r="D36" t="str">
            <v>Perfluoro-3,6-dioxaheptanoic acid (PFPE-3)</v>
          </cell>
          <cell r="E36" t="str">
            <v>PFECAs</v>
          </cell>
          <cell r="F36" t="str">
            <v>Both</v>
          </cell>
          <cell r="G36">
            <v>0</v>
          </cell>
          <cell r="H36">
            <v>0.35749999999999998</v>
          </cell>
          <cell r="I36">
            <v>0</v>
          </cell>
        </row>
        <row r="37">
          <cell r="A37" t="str">
            <v>Perfluoro-3-methoxypropanoic acid</v>
          </cell>
          <cell r="B37" t="str">
            <v>DTXSID70191136</v>
          </cell>
          <cell r="C37" t="str">
            <v>377-73-1</v>
          </cell>
          <cell r="D37" t="str">
            <v>Perfluoro-3-methyoxypropanoic acid (PFPE-2)</v>
          </cell>
          <cell r="E37" t="str">
            <v>PFECAs</v>
          </cell>
          <cell r="F37" t="str">
            <v>DTT</v>
          </cell>
          <cell r="G37">
            <v>0</v>
          </cell>
          <cell r="H37">
            <v>0.13880000000000001</v>
          </cell>
          <cell r="I37">
            <v>0</v>
          </cell>
        </row>
        <row r="38">
          <cell r="A38" t="str">
            <v>Perfluoro-4-isopropoxybutanoic acid</v>
          </cell>
          <cell r="B38" t="str">
            <v>DTXSID60663110</v>
          </cell>
          <cell r="C38" t="str">
            <v>801212-59-9</v>
          </cell>
          <cell r="D38" t="str">
            <v>Perfluoro-4-isopropoxybutanoic acid (PFPE-1)</v>
          </cell>
          <cell r="E38" t="str">
            <v>PFECAs</v>
          </cell>
          <cell r="F38" t="str">
            <v>DTT</v>
          </cell>
          <cell r="G38">
            <v>5.78</v>
          </cell>
          <cell r="H38">
            <v>2.7000000000000001E-3</v>
          </cell>
          <cell r="I38">
            <v>5.78</v>
          </cell>
        </row>
        <row r="39">
          <cell r="A39" t="str">
            <v>Perfluoro(2-ethoxyethane)sulfonic acid</v>
          </cell>
          <cell r="B39" t="str">
            <v>DTXSID50379814</v>
          </cell>
          <cell r="C39" t="str">
            <v>113507-82-7</v>
          </cell>
          <cell r="D39" t="str">
            <v>Perfluoro(2-ethoxyethane)sulfonic acid</v>
          </cell>
          <cell r="E39" t="str">
            <v>PFESAs</v>
          </cell>
          <cell r="F39" t="str">
            <v>EPA</v>
          </cell>
          <cell r="G39">
            <v>5.5119999999999996</v>
          </cell>
          <cell r="H39" t="str">
            <v>Sig</v>
          </cell>
          <cell r="I39">
            <v>5.5119999999999996</v>
          </cell>
        </row>
        <row r="40">
          <cell r="A40" t="str">
            <v>Perfluorooctanesulfonamido ammonium iodide</v>
          </cell>
          <cell r="B40" t="str">
            <v>DTXSID8051419</v>
          </cell>
          <cell r="C40" t="str">
            <v>1652-63-7</v>
          </cell>
          <cell r="D40" t="str">
            <v>Perfluorooctanesulfonamido ammonium iodide</v>
          </cell>
          <cell r="E40" t="str">
            <v>PFS nonpolymer</v>
          </cell>
          <cell r="F40" t="str">
            <v>DTT</v>
          </cell>
          <cell r="G40">
            <v>4.28</v>
          </cell>
          <cell r="H40">
            <v>0.41670000000000001</v>
          </cell>
          <cell r="I40">
            <v>0</v>
          </cell>
        </row>
        <row r="41">
          <cell r="A41" t="str">
            <v>2,2,2-Trifluoroethyl perfluorobutanesulfonate</v>
          </cell>
          <cell r="B41" t="str">
            <v>DTXSID60380390</v>
          </cell>
          <cell r="C41" t="str">
            <v>79963-95-4</v>
          </cell>
          <cell r="D41" t="str">
            <v>2,2,2-Trifluoroethylperfluorobutanesulfonate</v>
          </cell>
          <cell r="E41" t="str">
            <v>PFSAs</v>
          </cell>
          <cell r="F41" t="str">
            <v>DTT</v>
          </cell>
          <cell r="G41">
            <v>2.84</v>
          </cell>
          <cell r="H41">
            <v>8.3400000000000002E-2</v>
          </cell>
          <cell r="I41">
            <v>0</v>
          </cell>
        </row>
        <row r="42">
          <cell r="A42" t="str">
            <v>Perfluorobutanesulfonic acid</v>
          </cell>
          <cell r="B42" t="str">
            <v>DTXSID5030030</v>
          </cell>
          <cell r="C42" t="str">
            <v>375-73-5</v>
          </cell>
          <cell r="D42" t="str">
            <v>Perfluorobutane sulfonate (PFBS)</v>
          </cell>
          <cell r="E42" t="str">
            <v>PFSAs</v>
          </cell>
          <cell r="F42" t="str">
            <v>DTT</v>
          </cell>
          <cell r="G42">
            <v>4.75</v>
          </cell>
          <cell r="H42">
            <v>4.0000000000000002E-4</v>
          </cell>
          <cell r="I42">
            <v>4.75</v>
          </cell>
        </row>
        <row r="43">
          <cell r="A43" t="str">
            <v>Perfluoroheptanesulfonic acid</v>
          </cell>
          <cell r="B43" t="str">
            <v>DTXSID8059920</v>
          </cell>
          <cell r="C43" t="str">
            <v>375-92-8</v>
          </cell>
          <cell r="D43" t="str">
            <v>Perfluoroheptanesulfonic acid (PFHpS)</v>
          </cell>
          <cell r="E43" t="str">
            <v>PFSAs</v>
          </cell>
          <cell r="F43" t="str">
            <v>DTT</v>
          </cell>
          <cell r="G43">
            <v>1.23</v>
          </cell>
          <cell r="H43">
            <v>0.23</v>
          </cell>
          <cell r="I43">
            <v>0</v>
          </cell>
        </row>
        <row r="44">
          <cell r="A44" t="str">
            <v>Perfluorohexanesulfonic acid</v>
          </cell>
          <cell r="B44" t="str">
            <v>DTXSID7040150</v>
          </cell>
          <cell r="C44" t="str">
            <v>355-46-4</v>
          </cell>
          <cell r="D44" t="str">
            <v>Perfluorohexane sulfonic acid (PFHxS)</v>
          </cell>
          <cell r="E44" t="str">
            <v>PFSAs</v>
          </cell>
          <cell r="F44" t="str">
            <v>DTT</v>
          </cell>
          <cell r="G44">
            <v>1.52</v>
          </cell>
          <cell r="H44">
            <v>0.3805</v>
          </cell>
          <cell r="I44">
            <v>0</v>
          </cell>
        </row>
        <row r="45">
          <cell r="A45" t="str">
            <v>Perfluorooctanesulfonate</v>
          </cell>
          <cell r="B45" t="str">
            <v>DTXSID80108992</v>
          </cell>
          <cell r="C45" t="str">
            <v>45298-90-6</v>
          </cell>
          <cell r="D45" t="str">
            <v>Perfluorooctanesulfonate (PFOS-)</v>
          </cell>
          <cell r="E45" t="str">
            <v>PFSAs</v>
          </cell>
          <cell r="F45" t="str">
            <v>DTT</v>
          </cell>
          <cell r="G45">
            <v>0</v>
          </cell>
          <cell r="H45">
            <v>0.25700000000000001</v>
          </cell>
          <cell r="I45">
            <v>0</v>
          </cell>
        </row>
        <row r="46">
          <cell r="A46" t="str">
            <v>Perfluorooctanesulfonic acid</v>
          </cell>
          <cell r="B46" t="str">
            <v>DTXSID3031864</v>
          </cell>
          <cell r="C46" t="str">
            <v>1763-23-1</v>
          </cell>
          <cell r="D46" t="str">
            <v>Perfluorooctane sulfonate (PFOS)</v>
          </cell>
          <cell r="E46" t="str">
            <v>PFSAs</v>
          </cell>
          <cell r="F46" t="str">
            <v>DTT</v>
          </cell>
          <cell r="G46">
            <v>1.38</v>
          </cell>
          <cell r="H46">
            <v>0.2014</v>
          </cell>
          <cell r="I46">
            <v>0</v>
          </cell>
        </row>
        <row r="47">
          <cell r="A47" t="str">
            <v>Potassium perfluorobutanesulfonate</v>
          </cell>
          <cell r="B47" t="str">
            <v>DTXSID3037707</v>
          </cell>
          <cell r="C47" t="str">
            <v>29420-49-3</v>
          </cell>
          <cell r="D47" t="str">
            <v>Potassium perfluorobutanesulfonate (KPFBS)</v>
          </cell>
          <cell r="E47" t="str">
            <v>PFSAs</v>
          </cell>
          <cell r="F47" t="str">
            <v>DTT</v>
          </cell>
          <cell r="G47">
            <v>0</v>
          </cell>
          <cell r="H47">
            <v>0.71930000000000005</v>
          </cell>
          <cell r="I47">
            <v>0</v>
          </cell>
        </row>
        <row r="48">
          <cell r="A48" t="str">
            <v>Potassium perfluorohexanesulfonate</v>
          </cell>
          <cell r="B48" t="str">
            <v>DTXSID3037709</v>
          </cell>
          <cell r="C48" t="str">
            <v>3871-99-6</v>
          </cell>
          <cell r="D48" t="str">
            <v>Potassium perfluorohexanesulfonate (KPFHxS)</v>
          </cell>
          <cell r="E48" t="str">
            <v>PFSAs</v>
          </cell>
          <cell r="F48" t="str">
            <v>DTT</v>
          </cell>
          <cell r="G48">
            <v>0</v>
          </cell>
          <cell r="H48">
            <v>0.48220000000000002</v>
          </cell>
          <cell r="I48">
            <v>0</v>
          </cell>
        </row>
        <row r="49">
          <cell r="A49" t="str">
            <v>Potassium perfluorooctanesulfonate</v>
          </cell>
          <cell r="B49" t="str">
            <v>DTXSID8037706</v>
          </cell>
          <cell r="C49" t="str">
            <v>2795-39-3</v>
          </cell>
          <cell r="D49" t="str">
            <v>Potassium perfluorooctanesulfonate (KPFOS)</v>
          </cell>
          <cell r="E49" t="str">
            <v>PFSAs</v>
          </cell>
          <cell r="F49" t="str">
            <v>DTT</v>
          </cell>
          <cell r="G49">
            <v>2.96</v>
          </cell>
          <cell r="H49">
            <v>1E-4</v>
          </cell>
          <cell r="I49">
            <v>2.96</v>
          </cell>
        </row>
        <row r="50">
          <cell r="A50" t="str">
            <v>Sodium perfluorodecanesulfonate</v>
          </cell>
          <cell r="B50" t="str">
            <v>DTXSID60892443</v>
          </cell>
          <cell r="C50" t="str">
            <v>2806-15-7</v>
          </cell>
          <cell r="D50" t="str">
            <v>Sodium perfluorodecanesulfonate (NaPFDS)</v>
          </cell>
          <cell r="E50" t="str">
            <v>PFSAs</v>
          </cell>
          <cell r="F50" t="str">
            <v>DTT</v>
          </cell>
          <cell r="G50">
            <v>3.39</v>
          </cell>
          <cell r="H50">
            <v>8.5699999999999998E-2</v>
          </cell>
          <cell r="I50">
            <v>0</v>
          </cell>
        </row>
        <row r="51">
          <cell r="A51" t="str">
            <v>Perfluoro-1-octanesulfonyl chloride</v>
          </cell>
          <cell r="B51" t="str">
            <v>DTXSID90315130</v>
          </cell>
          <cell r="C51" t="str">
            <v>423-60-9</v>
          </cell>
          <cell r="D51" t="str">
            <v>Perfluoro-1-octanesulfonyl chloride (PFOS-Cl)</v>
          </cell>
          <cell r="E51" t="str">
            <v>PFS-halide</v>
          </cell>
          <cell r="F51" t="str">
            <v>DTT</v>
          </cell>
          <cell r="G51">
            <v>0</v>
          </cell>
          <cell r="H51">
            <v>0.61119999999999997</v>
          </cell>
          <cell r="I51">
            <v>0</v>
          </cell>
        </row>
        <row r="52">
          <cell r="A52" t="str">
            <v>N-Ethylperfluorooctanesulfonamide</v>
          </cell>
          <cell r="B52" t="str">
            <v>DTXSID1032646</v>
          </cell>
          <cell r="C52" t="str">
            <v>4151-50-2</v>
          </cell>
          <cell r="D52" t="str">
            <v>N-Ethylperfluorooctane sulfonamide (NEtFOSA)</v>
          </cell>
          <cell r="E52" t="str">
            <v>xFASA/Es</v>
          </cell>
          <cell r="F52" t="str">
            <v>Both</v>
          </cell>
          <cell r="G52">
            <v>24.92</v>
          </cell>
          <cell r="H52">
            <v>1E-4</v>
          </cell>
          <cell r="I52">
            <v>8.9640000000000004</v>
          </cell>
        </row>
        <row r="53">
          <cell r="A53" t="str">
            <v>N-Methylperfluorooctanesulfonamide</v>
          </cell>
          <cell r="B53" t="str">
            <v>DTXSID1067629</v>
          </cell>
          <cell r="C53" t="str">
            <v>31506-32-8</v>
          </cell>
          <cell r="D53" t="str">
            <v>N-Methylperfluorooctane sulfonamide (NMeFOSA)</v>
          </cell>
          <cell r="E53" t="str">
            <v>xFASA/Es</v>
          </cell>
          <cell r="F53" t="str">
            <v>DTT</v>
          </cell>
          <cell r="G53">
            <v>33.229999999999997</v>
          </cell>
          <cell r="H53">
            <v>1E-4</v>
          </cell>
          <cell r="I53">
            <v>23.23</v>
          </cell>
        </row>
        <row r="54">
          <cell r="A54" t="str">
            <v>Perfluorohexanesulfonamide</v>
          </cell>
          <cell r="B54" t="str">
            <v>DTXSID50469320</v>
          </cell>
          <cell r="C54"/>
          <cell r="D54" t="str">
            <v>Perfluorohexanesulfonamide (PFHxSA)</v>
          </cell>
          <cell r="E54" t="str">
            <v>xFASA/Es</v>
          </cell>
          <cell r="F54" t="str">
            <v>EPA</v>
          </cell>
          <cell r="G54">
            <v>0</v>
          </cell>
          <cell r="H54" t="str">
            <v>NS</v>
          </cell>
          <cell r="I54">
            <v>0</v>
          </cell>
        </row>
        <row r="55">
          <cell r="A55" t="str">
            <v>Perfluorooctanesulfonamide</v>
          </cell>
          <cell r="B55" t="str">
            <v>DTXSID3038939</v>
          </cell>
          <cell r="C55" t="str">
            <v>754-91-6</v>
          </cell>
          <cell r="D55" t="str">
            <v>Perfluorooctane sulfonamide (PFOSA)</v>
          </cell>
          <cell r="E55" t="str">
            <v>xFASA/Es</v>
          </cell>
          <cell r="F55" t="str">
            <v>DTT</v>
          </cell>
          <cell r="G55">
            <v>22.84</v>
          </cell>
          <cell r="H55">
            <v>1E-4</v>
          </cell>
          <cell r="I55">
            <v>17.84</v>
          </cell>
        </row>
      </sheetData>
      <sheetData sheetId="5"/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rizerPFASApr2024-Clint-Level4"/>
    </sheetNames>
    <sheetDataSet>
      <sheetData sheetId="0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578EB21-C7A5-449C-A37D-5BCEE66C4BB6}" name="Table4" displayName="Table4" ref="A1:H55" totalsRowShown="0" headerRowDxfId="0" dataDxfId="1" tableBorderDxfId="10">
  <autoFilter ref="A1:H55" xr:uid="{8578EB21-C7A5-449C-A37D-5BCEE66C4BB6}"/>
  <sortState xmlns:xlrd2="http://schemas.microsoft.com/office/spreadsheetml/2017/richdata2" ref="A2:H55">
    <sortCondition ref="D1:D55"/>
  </sortState>
  <tableColumns count="8">
    <tableColumn id="1" xr3:uid="{A17464AB-CACE-4EA0-9DD7-C690639D691B}" name="DTXSID" dataDxfId="9"/>
    <tableColumn id="2" xr3:uid="{B048C803-F1F1-4735-B1DB-F9970652DC7E}" name="Compound" dataDxfId="8"/>
    <tableColumn id="3" xr3:uid="{A6AC36EE-70BE-4B6F-9FD1-E3ECD4AB3566}" name="ManualClint" dataDxfId="7"/>
    <tableColumn id="4" xr3:uid="{12332548-0C7A-4C37-B5F6-468EB234EF35}" name="ManualClintpValue" dataDxfId="6"/>
    <tableColumn id="5" xr3:uid="{CB5F965C-8694-4648-9089-82C2FE6640CC}" name="BayesClint" dataDxfId="5"/>
    <tableColumn id="6" xr3:uid="{B1E033F8-7627-4073-9CF7-D1A24DF7C5D0}" name="BayesClintpValue" dataDxfId="4"/>
    <tableColumn id="7" xr3:uid="{93F068C2-D9C8-4953-B0D3-AFA18FB8BDDF}" name="BayesDegradepValue" dataDxfId="3"/>
    <tableColumn id="8" xr3:uid="{076066C3-6408-484C-8D6D-00BC5EA85E32}" name="ClintpValueAgree" dataDxfId="2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19C6F83-E174-4381-99F0-9D8656E8921B}" name="Table1" displayName="Table1" ref="A1:H55" totalsRowShown="0">
  <autoFilter ref="A1:H55" xr:uid="{619C6F83-E174-4381-99F0-9D8656E8921B}"/>
  <sortState xmlns:xlrd2="http://schemas.microsoft.com/office/spreadsheetml/2017/richdata2" ref="A2:H55">
    <sortCondition ref="H1:H55"/>
  </sortState>
  <tableColumns count="8">
    <tableColumn id="1" xr3:uid="{A93EB878-C910-4FDC-B24E-95A2F8C2A836}" name="DTXSID" dataDxfId="12"/>
    <tableColumn id="2" xr3:uid="{F59E971F-6E1C-4BCB-9336-5B96AB330DF7}" name="Compound">
      <calculatedColumnFormula>INDEX([1]Table_S4_Clint_Data_Summary!$A$2:$I$55,MATCH(A2,[1]Table_S4_Clint_Data_Summary!$B$2:$B$55,0),1)</calculatedColumnFormula>
    </tableColumn>
    <tableColumn id="3" xr3:uid="{12889A7A-6268-48C7-9EFC-954C3F806CA0}" name="ManualClint">
      <calculatedColumnFormula>INDEX([1]Table_S4_Clint_Data_Summary!$A$2:$I$55,MATCH($A2,[1]Table_S4_Clint_Data_Summary!$B$2:$B$55,0),7)</calculatedColumnFormula>
    </tableColumn>
    <tableColumn id="4" xr3:uid="{AC70C5F7-C173-43B1-BDF1-2EEAEDE0ED3C}" name="ManualClintpValue">
      <calculatedColumnFormula>INDEX([1]Table_S4_Clint_Data_Summary!$A$2:$I$55,MATCH($A2,[1]Table_S4_Clint_Data_Summary!$B$2:$B$55,0),8)</calculatedColumnFormula>
    </tableColumn>
    <tableColumn id="5" xr3:uid="{630B0BC6-4F61-4ACB-B2AE-9F6C288FB9EF}" name="BayesClint">
      <calculatedColumnFormula>INDEX([2]!Table1[[DTXSID]:[degrades.pValue]],MATCH($A2,[2]!Table1[DTXSID],0),3)</calculatedColumnFormula>
    </tableColumn>
    <tableColumn id="6" xr3:uid="{BCD8F8A3-F5C2-4651-BB3A-48E9650E5766}" name="BayesClintpValue">
      <calculatedColumnFormula>INDEX([2]!Table1[[DTXSID]:[degrades.pValue]],MATCH($A2,[2]!Table1[DTXSID],0),9)</calculatedColumnFormula>
    </tableColumn>
    <tableColumn id="7" xr3:uid="{9E7A8537-C47E-4756-A25D-8FEF60AE2962}" name="BayesDegradepValue">
      <calculatedColumnFormula>INDEX([2]!Table1[[DTXSID]:[degrades.pValue]],MATCH($A2,[2]!Table1[DTXSID],0),11)</calculatedColumnFormula>
    </tableColumn>
    <tableColumn id="8" xr3:uid="{D10D43FE-AFDD-4564-A5F4-104EEC6DC7A3}" name="ClintpValueAgree" dataDxfId="11">
      <calculatedColumnFormula>IF(OR(AND(Table1[[#This Row],[ManualClintpValue]]&lt;0.05,Table1[[#This Row],[BayesClintpValue]]&lt;0.05),AND(Table1[[#This Row],[ManualClintpValue]]&gt;0.05,Table1[[#This Row],[BayesClintpValue]]&gt;0.5)),"Y","N")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1E1F2-884C-4DF3-ACE1-B744AD15DA10}">
  <dimension ref="A1:H55"/>
  <sheetViews>
    <sheetView tabSelected="1" workbookViewId="0">
      <selection activeCell="A3" sqref="A3"/>
    </sheetView>
  </sheetViews>
  <sheetFormatPr defaultRowHeight="14.5" x14ac:dyDescent="0.35"/>
  <cols>
    <col min="1" max="1" width="15.81640625" customWidth="1"/>
    <col min="2" max="2" width="12.08984375" customWidth="1"/>
    <col min="3" max="3" width="13" customWidth="1"/>
    <col min="4" max="4" width="18.81640625" customWidth="1"/>
    <col min="5" max="5" width="11.453125" customWidth="1"/>
    <col min="6" max="6" width="17.26953125" customWidth="1"/>
    <col min="7" max="7" width="20.453125" customWidth="1"/>
    <col min="8" max="8" width="17.26953125" customWidth="1"/>
  </cols>
  <sheetData>
    <row r="1" spans="1:8" x14ac:dyDescent="0.35">
      <c r="A1" s="7" t="s">
        <v>0</v>
      </c>
      <c r="B1" s="8" t="s">
        <v>55</v>
      </c>
      <c r="C1" s="8" t="s">
        <v>56</v>
      </c>
      <c r="D1" s="8" t="s">
        <v>57</v>
      </c>
      <c r="E1" s="8" t="s">
        <v>58</v>
      </c>
      <c r="F1" s="8" t="s">
        <v>59</v>
      </c>
      <c r="G1" s="8" t="s">
        <v>60</v>
      </c>
      <c r="H1" s="8" t="s">
        <v>61</v>
      </c>
    </row>
    <row r="2" spans="1:8" x14ac:dyDescent="0.35">
      <c r="A2" s="2" t="s">
        <v>54</v>
      </c>
      <c r="B2" s="5" t="s">
        <v>77</v>
      </c>
      <c r="C2" s="5">
        <v>0</v>
      </c>
      <c r="D2" s="5">
        <v>0</v>
      </c>
      <c r="E2" s="5">
        <v>0</v>
      </c>
      <c r="F2" s="5">
        <v>0.997</v>
      </c>
      <c r="G2" s="5">
        <v>1</v>
      </c>
      <c r="H2" s="5" t="s">
        <v>64</v>
      </c>
    </row>
    <row r="3" spans="1:8" x14ac:dyDescent="0.35">
      <c r="A3" s="2" t="s">
        <v>4</v>
      </c>
      <c r="B3" s="5" t="s">
        <v>63</v>
      </c>
      <c r="C3" s="5">
        <v>24.92</v>
      </c>
      <c r="D3" s="5">
        <v>1E-4</v>
      </c>
      <c r="E3" s="5">
        <v>164</v>
      </c>
      <c r="F3" s="5">
        <v>5.8900000000000001E-2</v>
      </c>
      <c r="G3" s="5">
        <v>0</v>
      </c>
      <c r="H3" s="5" t="s">
        <v>64</v>
      </c>
    </row>
    <row r="4" spans="1:8" x14ac:dyDescent="0.35">
      <c r="A4" s="3" t="s">
        <v>2</v>
      </c>
      <c r="B4" s="5" t="s">
        <v>70</v>
      </c>
      <c r="C4" s="5">
        <v>5.0460000000000003</v>
      </c>
      <c r="D4" s="5">
        <v>1E-4</v>
      </c>
      <c r="E4" s="5">
        <v>0</v>
      </c>
      <c r="F4" s="5">
        <v>0.52100000000000002</v>
      </c>
      <c r="G4" s="5">
        <v>0</v>
      </c>
      <c r="H4" s="5" t="s">
        <v>64</v>
      </c>
    </row>
    <row r="5" spans="1:8" x14ac:dyDescent="0.35">
      <c r="A5" s="4" t="s">
        <v>3</v>
      </c>
      <c r="B5" s="5" t="s">
        <v>80</v>
      </c>
      <c r="C5" s="5">
        <v>2.96</v>
      </c>
      <c r="D5" s="5">
        <v>1E-4</v>
      </c>
      <c r="E5" s="5">
        <v>0</v>
      </c>
      <c r="F5" s="5">
        <v>0.999</v>
      </c>
      <c r="G5" s="5">
        <v>0</v>
      </c>
      <c r="H5" s="5" t="s">
        <v>64</v>
      </c>
    </row>
    <row r="6" spans="1:8" x14ac:dyDescent="0.35">
      <c r="A6" s="2" t="s">
        <v>6</v>
      </c>
      <c r="B6" s="5" t="s">
        <v>81</v>
      </c>
      <c r="C6" s="5">
        <v>22.84</v>
      </c>
      <c r="D6" s="5">
        <v>1E-4</v>
      </c>
      <c r="E6" s="5">
        <v>0</v>
      </c>
      <c r="F6" s="5">
        <v>0.999</v>
      </c>
      <c r="G6" s="5">
        <v>0</v>
      </c>
      <c r="H6" s="5" t="s">
        <v>64</v>
      </c>
    </row>
    <row r="7" spans="1:8" x14ac:dyDescent="0.35">
      <c r="A7" s="2" t="s">
        <v>1</v>
      </c>
      <c r="B7" s="5" t="s">
        <v>86</v>
      </c>
      <c r="C7" s="5">
        <v>11.84</v>
      </c>
      <c r="D7" s="5">
        <v>1E-4</v>
      </c>
      <c r="E7" s="5">
        <v>19</v>
      </c>
      <c r="F7" s="5">
        <v>0</v>
      </c>
      <c r="G7" s="5">
        <v>0.95299999999999996</v>
      </c>
      <c r="H7" s="5" t="s">
        <v>62</v>
      </c>
    </row>
    <row r="8" spans="1:8" x14ac:dyDescent="0.35">
      <c r="A8" s="2" t="s">
        <v>5</v>
      </c>
      <c r="B8" s="5" t="s">
        <v>87</v>
      </c>
      <c r="C8" s="5">
        <v>33.229999999999997</v>
      </c>
      <c r="D8" s="5">
        <v>1E-4</v>
      </c>
      <c r="E8" s="5">
        <v>48.7</v>
      </c>
      <c r="F8" s="5">
        <v>0</v>
      </c>
      <c r="G8" s="5">
        <v>0</v>
      </c>
      <c r="H8" s="5" t="s">
        <v>62</v>
      </c>
    </row>
    <row r="9" spans="1:8" x14ac:dyDescent="0.35">
      <c r="A9" s="2" t="s">
        <v>8</v>
      </c>
      <c r="B9" s="5" t="s">
        <v>71</v>
      </c>
      <c r="C9" s="5">
        <v>1.82</v>
      </c>
      <c r="D9" s="5">
        <v>4.0000000000000002E-4</v>
      </c>
      <c r="E9" s="5">
        <v>0</v>
      </c>
      <c r="F9" s="5">
        <v>0.76800000000000002</v>
      </c>
      <c r="G9" s="5">
        <v>0.221</v>
      </c>
      <c r="H9" s="5" t="s">
        <v>64</v>
      </c>
    </row>
    <row r="10" spans="1:8" x14ac:dyDescent="0.35">
      <c r="A10" s="2" t="s">
        <v>7</v>
      </c>
      <c r="B10" s="5" t="s">
        <v>75</v>
      </c>
      <c r="C10" s="5">
        <v>4.28</v>
      </c>
      <c r="D10" s="5">
        <v>4.0000000000000002E-4</v>
      </c>
      <c r="E10" s="5">
        <v>0</v>
      </c>
      <c r="F10" s="5">
        <v>0.97299999999999998</v>
      </c>
      <c r="G10" s="5">
        <v>2.1600000000000001E-2</v>
      </c>
      <c r="H10" s="5" t="s">
        <v>64</v>
      </c>
    </row>
    <row r="11" spans="1:8" x14ac:dyDescent="0.35">
      <c r="A11" s="2" t="s">
        <v>9</v>
      </c>
      <c r="B11" s="5" t="s">
        <v>74</v>
      </c>
      <c r="C11" s="5">
        <v>4.75</v>
      </c>
      <c r="D11" s="5">
        <v>4.0000000000000002E-4</v>
      </c>
      <c r="E11" s="5">
        <v>0</v>
      </c>
      <c r="F11" s="5">
        <v>0.96799999999999997</v>
      </c>
      <c r="G11" s="5">
        <v>0</v>
      </c>
      <c r="H11" s="5" t="s">
        <v>64</v>
      </c>
    </row>
    <row r="12" spans="1:8" x14ac:dyDescent="0.35">
      <c r="A12" s="2" t="s">
        <v>10</v>
      </c>
      <c r="B12" s="5" t="s">
        <v>82</v>
      </c>
      <c r="C12" s="5">
        <v>5.78</v>
      </c>
      <c r="D12" s="5">
        <v>2.7000000000000001E-3</v>
      </c>
      <c r="E12" s="5">
        <v>0</v>
      </c>
      <c r="F12" s="5">
        <v>0.999</v>
      </c>
      <c r="G12" s="5">
        <v>0</v>
      </c>
      <c r="H12" s="5" t="s">
        <v>64</v>
      </c>
    </row>
    <row r="13" spans="1:8" x14ac:dyDescent="0.35">
      <c r="A13" s="2" t="s">
        <v>11</v>
      </c>
      <c r="B13" s="5" t="s">
        <v>78</v>
      </c>
      <c r="C13" s="5">
        <v>1.5284</v>
      </c>
      <c r="D13" s="5">
        <v>4.4999999999999997E-3</v>
      </c>
      <c r="E13" s="5">
        <v>0</v>
      </c>
      <c r="F13" s="5">
        <v>0.997</v>
      </c>
      <c r="G13" s="5">
        <v>0.997</v>
      </c>
      <c r="H13" s="5" t="s">
        <v>64</v>
      </c>
    </row>
    <row r="14" spans="1:8" x14ac:dyDescent="0.35">
      <c r="A14" s="2" t="s">
        <v>12</v>
      </c>
      <c r="B14" s="5" t="s">
        <v>72</v>
      </c>
      <c r="C14" s="5">
        <v>3.12</v>
      </c>
      <c r="D14" s="5">
        <v>4.8999999999999998E-3</v>
      </c>
      <c r="E14" s="5">
        <v>0</v>
      </c>
      <c r="F14" s="5">
        <v>0.94899999999999995</v>
      </c>
      <c r="G14" s="5">
        <v>8.5000000000000006E-3</v>
      </c>
      <c r="H14" s="5" t="s">
        <v>64</v>
      </c>
    </row>
    <row r="15" spans="1:8" x14ac:dyDescent="0.35">
      <c r="A15" s="4" t="s">
        <v>13</v>
      </c>
      <c r="B15" s="5" t="s">
        <v>65</v>
      </c>
      <c r="C15" s="5">
        <v>2.06</v>
      </c>
      <c r="D15" s="5">
        <v>2.1700000000000001E-2</v>
      </c>
      <c r="E15" s="5">
        <v>10.8</v>
      </c>
      <c r="F15" s="5">
        <v>0.109</v>
      </c>
      <c r="G15" s="5">
        <v>0.88300000000000001</v>
      </c>
      <c r="H15" s="5" t="s">
        <v>64</v>
      </c>
    </row>
    <row r="16" spans="1:8" x14ac:dyDescent="0.35">
      <c r="A16" s="2" t="s">
        <v>14</v>
      </c>
      <c r="B16" s="5" t="s">
        <v>73</v>
      </c>
      <c r="C16" s="5">
        <v>1.401</v>
      </c>
      <c r="D16" s="5">
        <v>2.2700000000000001E-2</v>
      </c>
      <c r="E16" s="5">
        <v>0</v>
      </c>
      <c r="F16" s="5">
        <v>0.94899999999999995</v>
      </c>
      <c r="G16" s="5">
        <v>0.94799999999999995</v>
      </c>
      <c r="H16" s="5" t="s">
        <v>64</v>
      </c>
    </row>
    <row r="17" spans="1:8" x14ac:dyDescent="0.35">
      <c r="A17" s="2" t="s">
        <v>15</v>
      </c>
      <c r="B17" s="5" t="s">
        <v>83</v>
      </c>
      <c r="C17" s="5">
        <v>2.34</v>
      </c>
      <c r="D17" s="5">
        <v>2.9600000000000001E-2</v>
      </c>
      <c r="E17" s="5">
        <v>0</v>
      </c>
      <c r="F17" s="5">
        <v>0.995</v>
      </c>
      <c r="G17" s="5">
        <v>2.2000000000000001E-4</v>
      </c>
      <c r="H17" s="5" t="s">
        <v>64</v>
      </c>
    </row>
    <row r="18" spans="1:8" x14ac:dyDescent="0.35">
      <c r="A18" s="2" t="s">
        <v>16</v>
      </c>
      <c r="B18" s="5" t="s">
        <v>84</v>
      </c>
      <c r="C18" s="5">
        <v>1.49</v>
      </c>
      <c r="D18" s="5">
        <v>3.2099999999999997E-2</v>
      </c>
      <c r="E18" s="5">
        <v>0</v>
      </c>
      <c r="F18" s="5">
        <v>1</v>
      </c>
      <c r="G18" s="5">
        <v>0</v>
      </c>
      <c r="H18" s="5" t="s">
        <v>64</v>
      </c>
    </row>
    <row r="19" spans="1:8" x14ac:dyDescent="0.35">
      <c r="A19" s="2" t="s">
        <v>17</v>
      </c>
      <c r="B19" s="5" t="s">
        <v>76</v>
      </c>
      <c r="C19" s="5">
        <v>1.5</v>
      </c>
      <c r="D19" s="5">
        <v>3.8600000000000002E-2</v>
      </c>
      <c r="E19" s="5">
        <v>0</v>
      </c>
      <c r="F19" s="5">
        <v>0.996</v>
      </c>
      <c r="G19" s="5">
        <v>0</v>
      </c>
      <c r="H19" s="5" t="s">
        <v>64</v>
      </c>
    </row>
    <row r="20" spans="1:8" x14ac:dyDescent="0.35">
      <c r="A20" s="2" t="s">
        <v>18</v>
      </c>
      <c r="B20" s="5" t="s">
        <v>79</v>
      </c>
      <c r="C20" s="5">
        <v>1.62</v>
      </c>
      <c r="D20" s="5">
        <v>4.1099999999999998E-2</v>
      </c>
      <c r="E20" s="5">
        <v>0</v>
      </c>
      <c r="F20" s="5">
        <v>0.998</v>
      </c>
      <c r="G20" s="5">
        <v>0</v>
      </c>
      <c r="H20" s="5" t="s">
        <v>64</v>
      </c>
    </row>
    <row r="21" spans="1:8" x14ac:dyDescent="0.35">
      <c r="A21" s="2" t="s">
        <v>19</v>
      </c>
      <c r="B21" s="5" t="s">
        <v>113</v>
      </c>
      <c r="C21" s="5">
        <v>0</v>
      </c>
      <c r="D21" s="5">
        <v>7.3800000000000004E-2</v>
      </c>
      <c r="E21" s="5">
        <v>0</v>
      </c>
      <c r="F21" s="5">
        <v>1</v>
      </c>
      <c r="G21" s="5">
        <v>0</v>
      </c>
      <c r="H21" s="5" t="s">
        <v>62</v>
      </c>
    </row>
    <row r="22" spans="1:8" x14ac:dyDescent="0.35">
      <c r="A22" s="2" t="s">
        <v>20</v>
      </c>
      <c r="B22" s="5" t="s">
        <v>103</v>
      </c>
      <c r="C22" s="5">
        <v>1.23</v>
      </c>
      <c r="D22" s="5">
        <v>7.9600000000000004E-2</v>
      </c>
      <c r="E22" s="5">
        <v>0</v>
      </c>
      <c r="F22" s="5">
        <v>0.99199999999999999</v>
      </c>
      <c r="G22" s="5">
        <v>5.2199999999999998E-3</v>
      </c>
      <c r="H22" s="5" t="s">
        <v>62</v>
      </c>
    </row>
    <row r="23" spans="1:8" x14ac:dyDescent="0.35">
      <c r="A23" s="2" t="s">
        <v>21</v>
      </c>
      <c r="B23" s="5" t="s">
        <v>108</v>
      </c>
      <c r="C23" s="5">
        <v>2.13</v>
      </c>
      <c r="D23" s="5">
        <v>8.1199999999999994E-2</v>
      </c>
      <c r="E23" s="5">
        <v>0</v>
      </c>
      <c r="F23" s="5">
        <v>0.999</v>
      </c>
      <c r="G23" s="5">
        <v>0</v>
      </c>
      <c r="H23" s="5" t="s">
        <v>62</v>
      </c>
    </row>
    <row r="24" spans="1:8" x14ac:dyDescent="0.35">
      <c r="A24" s="2" t="s">
        <v>22</v>
      </c>
      <c r="B24" s="5" t="s">
        <v>109</v>
      </c>
      <c r="C24" s="5">
        <v>2.84</v>
      </c>
      <c r="D24" s="5">
        <v>8.3400000000000002E-2</v>
      </c>
      <c r="E24" s="5">
        <v>0</v>
      </c>
      <c r="F24" s="5">
        <v>0.999</v>
      </c>
      <c r="G24" s="5">
        <v>0</v>
      </c>
      <c r="H24" s="5" t="s">
        <v>62</v>
      </c>
    </row>
    <row r="25" spans="1:8" x14ac:dyDescent="0.35">
      <c r="A25" s="2" t="s">
        <v>23</v>
      </c>
      <c r="B25" s="5" t="s">
        <v>69</v>
      </c>
      <c r="C25" s="5">
        <v>3.39</v>
      </c>
      <c r="D25" s="5">
        <v>8.5699999999999998E-2</v>
      </c>
      <c r="E25" s="5">
        <v>4.87</v>
      </c>
      <c r="F25" s="5">
        <v>0.38400000000000001</v>
      </c>
      <c r="G25" s="5">
        <v>0.89400000000000002</v>
      </c>
      <c r="H25" s="5" t="s">
        <v>64</v>
      </c>
    </row>
    <row r="26" spans="1:8" x14ac:dyDescent="0.35">
      <c r="A26" s="2" t="s">
        <v>24</v>
      </c>
      <c r="B26" s="5" t="s">
        <v>114</v>
      </c>
      <c r="C26" s="5">
        <v>0</v>
      </c>
      <c r="D26" s="5">
        <v>0.13880000000000001</v>
      </c>
      <c r="E26" s="5">
        <v>0</v>
      </c>
      <c r="F26" s="5">
        <v>0.88900000000000001</v>
      </c>
      <c r="G26" s="5">
        <v>0.109</v>
      </c>
      <c r="H26" s="5" t="s">
        <v>62</v>
      </c>
    </row>
    <row r="27" spans="1:8" x14ac:dyDescent="0.35">
      <c r="A27" s="2" t="s">
        <v>25</v>
      </c>
      <c r="B27" s="5" t="s">
        <v>101</v>
      </c>
      <c r="C27" s="5">
        <v>0.59</v>
      </c>
      <c r="D27" s="5">
        <v>0.1434</v>
      </c>
      <c r="E27" s="5">
        <v>0</v>
      </c>
      <c r="F27" s="5">
        <v>0.98799999999999999</v>
      </c>
      <c r="G27" s="5">
        <v>6.62E-3</v>
      </c>
      <c r="H27" s="5" t="s">
        <v>62</v>
      </c>
    </row>
    <row r="28" spans="1:8" x14ac:dyDescent="0.35">
      <c r="A28" s="2" t="s">
        <v>26</v>
      </c>
      <c r="B28" s="5" t="s">
        <v>97</v>
      </c>
      <c r="C28" s="5">
        <v>1.38</v>
      </c>
      <c r="D28" s="5">
        <v>0.2014</v>
      </c>
      <c r="E28" s="5">
        <v>0</v>
      </c>
      <c r="F28" s="5">
        <v>0.96099999999999997</v>
      </c>
      <c r="G28" s="5">
        <v>0</v>
      </c>
      <c r="H28" s="5" t="s">
        <v>62</v>
      </c>
    </row>
    <row r="29" spans="1:8" x14ac:dyDescent="0.35">
      <c r="A29" s="2" t="s">
        <v>27</v>
      </c>
      <c r="B29" s="5" t="s">
        <v>110</v>
      </c>
      <c r="C29" s="5">
        <v>1.23</v>
      </c>
      <c r="D29" s="5">
        <v>0.23</v>
      </c>
      <c r="E29" s="5">
        <v>0</v>
      </c>
      <c r="F29" s="5">
        <v>0.999</v>
      </c>
      <c r="G29" s="5">
        <v>0</v>
      </c>
      <c r="H29" s="5" t="s">
        <v>62</v>
      </c>
    </row>
    <row r="30" spans="1:8" x14ac:dyDescent="0.35">
      <c r="A30" s="4" t="s">
        <v>28</v>
      </c>
      <c r="B30" s="5" t="s">
        <v>107</v>
      </c>
      <c r="C30" s="5">
        <v>0</v>
      </c>
      <c r="D30" s="5">
        <v>0.2505</v>
      </c>
      <c r="E30" s="5">
        <v>0</v>
      </c>
      <c r="F30" s="5">
        <v>0.95099999999999996</v>
      </c>
      <c r="G30" s="5">
        <v>0.95099999999999996</v>
      </c>
      <c r="H30" s="5" t="s">
        <v>62</v>
      </c>
    </row>
    <row r="31" spans="1:8" x14ac:dyDescent="0.35">
      <c r="A31" s="4" t="s">
        <v>29</v>
      </c>
      <c r="B31" s="5" t="s">
        <v>100</v>
      </c>
      <c r="C31" s="5">
        <v>0</v>
      </c>
      <c r="D31" s="5">
        <v>0.25700000000000001</v>
      </c>
      <c r="E31" s="5">
        <v>0</v>
      </c>
      <c r="F31" s="5">
        <v>0.98</v>
      </c>
      <c r="G31" s="5">
        <v>1.9900000000000001E-2</v>
      </c>
      <c r="H31" s="5" t="s">
        <v>62</v>
      </c>
    </row>
    <row r="32" spans="1:8" x14ac:dyDescent="0.35">
      <c r="A32" s="2" t="s">
        <v>30</v>
      </c>
      <c r="B32" s="5" t="s">
        <v>96</v>
      </c>
      <c r="C32" s="5">
        <v>0</v>
      </c>
      <c r="D32" s="5">
        <v>0.26119999999999999</v>
      </c>
      <c r="E32" s="5">
        <v>0</v>
      </c>
      <c r="F32" s="5">
        <v>0.95099999999999996</v>
      </c>
      <c r="G32" s="5">
        <v>0.95</v>
      </c>
      <c r="H32" s="5" t="s">
        <v>62</v>
      </c>
    </row>
    <row r="33" spans="1:8" x14ac:dyDescent="0.35">
      <c r="A33" s="2" t="s">
        <v>31</v>
      </c>
      <c r="B33" s="5" t="s">
        <v>106</v>
      </c>
      <c r="C33" s="5">
        <v>0.9</v>
      </c>
      <c r="D33" s="5">
        <v>0.28860000000000002</v>
      </c>
      <c r="E33" s="5">
        <v>0</v>
      </c>
      <c r="F33" s="5">
        <v>0.997</v>
      </c>
      <c r="G33" s="5">
        <v>0</v>
      </c>
      <c r="H33" s="5" t="s">
        <v>62</v>
      </c>
    </row>
    <row r="34" spans="1:8" x14ac:dyDescent="0.35">
      <c r="A34" s="2" t="s">
        <v>32</v>
      </c>
      <c r="B34" s="5" t="s">
        <v>91</v>
      </c>
      <c r="C34" s="5">
        <v>0</v>
      </c>
      <c r="D34" s="5">
        <v>0.33810000000000001</v>
      </c>
      <c r="E34" s="5">
        <v>0</v>
      </c>
      <c r="F34" s="5">
        <v>0.95</v>
      </c>
      <c r="G34" s="5">
        <v>0.95199999999999996</v>
      </c>
      <c r="H34" s="5" t="s">
        <v>62</v>
      </c>
    </row>
    <row r="35" spans="1:8" x14ac:dyDescent="0.35">
      <c r="A35" s="2" t="s">
        <v>33</v>
      </c>
      <c r="B35" s="5" t="s">
        <v>115</v>
      </c>
      <c r="C35" s="5">
        <v>0</v>
      </c>
      <c r="D35" s="5">
        <v>0.35749999999999998</v>
      </c>
      <c r="E35" s="5">
        <v>0</v>
      </c>
      <c r="F35" s="5">
        <v>0.998</v>
      </c>
      <c r="G35" s="5">
        <v>4.0000000000000002E-4</v>
      </c>
      <c r="H35" s="5" t="s">
        <v>62</v>
      </c>
    </row>
    <row r="36" spans="1:8" x14ac:dyDescent="0.35">
      <c r="A36" s="2" t="s">
        <v>34</v>
      </c>
      <c r="B36" s="5" t="s">
        <v>88</v>
      </c>
      <c r="C36" s="5">
        <v>1.52</v>
      </c>
      <c r="D36" s="5">
        <v>0.3805</v>
      </c>
      <c r="E36" s="5">
        <v>0</v>
      </c>
      <c r="F36" s="5">
        <v>0.874</v>
      </c>
      <c r="G36" s="5">
        <v>0.122</v>
      </c>
      <c r="H36" s="5" t="s">
        <v>62</v>
      </c>
    </row>
    <row r="37" spans="1:8" x14ac:dyDescent="0.35">
      <c r="A37" s="2" t="s">
        <v>35</v>
      </c>
      <c r="B37" s="5" t="s">
        <v>68</v>
      </c>
      <c r="C37" s="5">
        <v>0.83</v>
      </c>
      <c r="D37" s="5">
        <v>0.38319999999999999</v>
      </c>
      <c r="E37" s="5">
        <v>10.4</v>
      </c>
      <c r="F37" s="5">
        <v>0.373</v>
      </c>
      <c r="G37" s="5">
        <v>0.627</v>
      </c>
      <c r="H37" s="5" t="s">
        <v>64</v>
      </c>
    </row>
    <row r="38" spans="1:8" x14ac:dyDescent="0.35">
      <c r="A38" s="2" t="s">
        <v>36</v>
      </c>
      <c r="B38" s="5" t="s">
        <v>105</v>
      </c>
      <c r="C38" s="5">
        <v>4.28</v>
      </c>
      <c r="D38" s="5">
        <v>0.41670000000000001</v>
      </c>
      <c r="E38" s="5">
        <v>0</v>
      </c>
      <c r="F38" s="5">
        <v>0.99399999999999999</v>
      </c>
      <c r="G38" s="5">
        <v>0</v>
      </c>
      <c r="H38" s="5" t="s">
        <v>62</v>
      </c>
    </row>
    <row r="39" spans="1:8" x14ac:dyDescent="0.35">
      <c r="A39" s="4" t="s">
        <v>37</v>
      </c>
      <c r="B39" s="5" t="s">
        <v>116</v>
      </c>
      <c r="C39" s="5">
        <v>0</v>
      </c>
      <c r="D39" s="5">
        <v>0.48220000000000002</v>
      </c>
      <c r="E39" s="5">
        <v>0</v>
      </c>
      <c r="F39" s="5">
        <v>1</v>
      </c>
      <c r="G39" s="5">
        <v>0</v>
      </c>
      <c r="H39" s="5" t="s">
        <v>62</v>
      </c>
    </row>
    <row r="40" spans="1:8" x14ac:dyDescent="0.35">
      <c r="A40" s="2" t="s">
        <v>38</v>
      </c>
      <c r="B40" s="5" t="s">
        <v>117</v>
      </c>
      <c r="C40" s="5">
        <v>0.71</v>
      </c>
      <c r="D40" s="5">
        <v>0.5272</v>
      </c>
      <c r="E40" s="5">
        <v>0</v>
      </c>
      <c r="F40" s="5">
        <v>1</v>
      </c>
      <c r="G40" s="5">
        <v>1</v>
      </c>
      <c r="H40" s="5" t="s">
        <v>62</v>
      </c>
    </row>
    <row r="41" spans="1:8" x14ac:dyDescent="0.35">
      <c r="A41" s="2" t="s">
        <v>39</v>
      </c>
      <c r="B41" s="5" t="s">
        <v>92</v>
      </c>
      <c r="C41" s="5">
        <v>0</v>
      </c>
      <c r="D41" s="5">
        <v>0.55379999999999996</v>
      </c>
      <c r="E41" s="5">
        <v>0</v>
      </c>
      <c r="F41" s="5">
        <v>0.95</v>
      </c>
      <c r="G41" s="5">
        <v>0.95</v>
      </c>
      <c r="H41" s="5" t="s">
        <v>62</v>
      </c>
    </row>
    <row r="42" spans="1:8" x14ac:dyDescent="0.35">
      <c r="A42" s="4" t="s">
        <v>40</v>
      </c>
      <c r="B42" s="5" t="s">
        <v>118</v>
      </c>
      <c r="C42" s="5">
        <v>0</v>
      </c>
      <c r="D42" s="5">
        <v>0.61119999999999997</v>
      </c>
      <c r="E42" s="5">
        <v>0</v>
      </c>
      <c r="F42" s="5">
        <v>1</v>
      </c>
      <c r="G42" s="5">
        <v>0</v>
      </c>
      <c r="H42" s="5" t="s">
        <v>62</v>
      </c>
    </row>
    <row r="43" spans="1:8" x14ac:dyDescent="0.35">
      <c r="A43" s="4" t="s">
        <v>41</v>
      </c>
      <c r="B43" s="5" t="s">
        <v>119</v>
      </c>
      <c r="C43" s="5">
        <v>0</v>
      </c>
      <c r="D43" s="5">
        <v>0.71930000000000005</v>
      </c>
      <c r="E43" s="5">
        <v>0</v>
      </c>
      <c r="F43" s="5">
        <v>1</v>
      </c>
      <c r="G43" s="5">
        <v>0</v>
      </c>
      <c r="H43" s="5" t="s">
        <v>62</v>
      </c>
    </row>
    <row r="44" spans="1:8" x14ac:dyDescent="0.35">
      <c r="A44" s="2" t="s">
        <v>42</v>
      </c>
      <c r="B44" s="5" t="s">
        <v>98</v>
      </c>
      <c r="C44" s="5">
        <v>0.08</v>
      </c>
      <c r="D44" s="5">
        <v>0.91290000000000004</v>
      </c>
      <c r="E44" s="5">
        <v>0</v>
      </c>
      <c r="F44" s="5">
        <v>0.97499999999999998</v>
      </c>
      <c r="G44" s="5">
        <v>2.3099999999999999E-2</v>
      </c>
      <c r="H44" s="5" t="s">
        <v>62</v>
      </c>
    </row>
    <row r="45" spans="1:8" x14ac:dyDescent="0.35">
      <c r="A45" s="2" t="s">
        <v>43</v>
      </c>
      <c r="B45" s="5" t="s">
        <v>104</v>
      </c>
      <c r="C45" s="5">
        <v>0</v>
      </c>
      <c r="D45" s="5">
        <v>0.9617</v>
      </c>
      <c r="E45" s="5">
        <v>0</v>
      </c>
      <c r="F45" s="5">
        <v>0.99199999999999999</v>
      </c>
      <c r="G45" s="5">
        <v>0</v>
      </c>
      <c r="H45" s="5" t="s">
        <v>62</v>
      </c>
    </row>
    <row r="46" spans="1:8" x14ac:dyDescent="0.35">
      <c r="A46" s="4" t="s">
        <v>48</v>
      </c>
      <c r="B46" s="5" t="s">
        <v>89</v>
      </c>
      <c r="C46" s="5">
        <v>0</v>
      </c>
      <c r="D46" s="5" t="s">
        <v>90</v>
      </c>
      <c r="E46" s="5">
        <v>0</v>
      </c>
      <c r="F46" s="5">
        <v>0.94899999999999995</v>
      </c>
      <c r="G46" s="5">
        <v>0.95099999999999996</v>
      </c>
      <c r="H46" s="5" t="s">
        <v>62</v>
      </c>
    </row>
    <row r="47" spans="1:8" x14ac:dyDescent="0.35">
      <c r="A47" s="2" t="s">
        <v>44</v>
      </c>
      <c r="B47" s="5" t="s">
        <v>93</v>
      </c>
      <c r="C47" s="5">
        <v>0</v>
      </c>
      <c r="D47" s="5" t="s">
        <v>90</v>
      </c>
      <c r="E47" s="5">
        <v>0</v>
      </c>
      <c r="F47" s="5">
        <v>0.95</v>
      </c>
      <c r="G47" s="5">
        <v>0.94799999999999995</v>
      </c>
      <c r="H47" s="5" t="s">
        <v>62</v>
      </c>
    </row>
    <row r="48" spans="1:8" x14ac:dyDescent="0.35">
      <c r="A48" s="2" t="s">
        <v>47</v>
      </c>
      <c r="B48" s="5" t="s">
        <v>94</v>
      </c>
      <c r="C48" s="5">
        <v>0</v>
      </c>
      <c r="D48" s="5" t="s">
        <v>90</v>
      </c>
      <c r="E48" s="5">
        <v>0</v>
      </c>
      <c r="F48" s="5">
        <v>0.95</v>
      </c>
      <c r="G48" s="5">
        <v>0.95</v>
      </c>
      <c r="H48" s="5" t="s">
        <v>62</v>
      </c>
    </row>
    <row r="49" spans="1:8" x14ac:dyDescent="0.35">
      <c r="A49" s="4" t="s">
        <v>49</v>
      </c>
      <c r="B49" s="5" t="s">
        <v>95</v>
      </c>
      <c r="C49" s="5">
        <v>0</v>
      </c>
      <c r="D49" s="5" t="s">
        <v>90</v>
      </c>
      <c r="E49" s="5">
        <v>0</v>
      </c>
      <c r="F49" s="5">
        <v>0.95</v>
      </c>
      <c r="G49" s="5">
        <v>0.95099999999999996</v>
      </c>
      <c r="H49" s="5" t="s">
        <v>62</v>
      </c>
    </row>
    <row r="50" spans="1:8" x14ac:dyDescent="0.35">
      <c r="A50" s="2" t="s">
        <v>45</v>
      </c>
      <c r="B50" s="5" t="s">
        <v>99</v>
      </c>
      <c r="C50" s="5">
        <v>0</v>
      </c>
      <c r="D50" s="5" t="s">
        <v>90</v>
      </c>
      <c r="E50" s="5">
        <v>0</v>
      </c>
      <c r="F50" s="5">
        <v>0.97899999999999998</v>
      </c>
      <c r="G50" s="5">
        <v>0.92300000000000004</v>
      </c>
      <c r="H50" s="5" t="s">
        <v>62</v>
      </c>
    </row>
    <row r="51" spans="1:8" x14ac:dyDescent="0.35">
      <c r="A51" s="2" t="s">
        <v>51</v>
      </c>
      <c r="B51" s="5" t="s">
        <v>102</v>
      </c>
      <c r="C51" s="5">
        <v>0</v>
      </c>
      <c r="D51" s="5" t="s">
        <v>90</v>
      </c>
      <c r="E51" s="5">
        <v>0</v>
      </c>
      <c r="F51" s="5">
        <v>0.99</v>
      </c>
      <c r="G51" s="5">
        <v>0</v>
      </c>
      <c r="H51" s="5" t="s">
        <v>62</v>
      </c>
    </row>
    <row r="52" spans="1:8" x14ac:dyDescent="0.35">
      <c r="A52" s="4" t="s">
        <v>46</v>
      </c>
      <c r="B52" s="5" t="s">
        <v>111</v>
      </c>
      <c r="C52" s="5">
        <v>0</v>
      </c>
      <c r="D52" s="5" t="s">
        <v>90</v>
      </c>
      <c r="E52" s="5">
        <v>0</v>
      </c>
      <c r="F52" s="5">
        <v>0.999</v>
      </c>
      <c r="G52" s="5">
        <v>0</v>
      </c>
      <c r="H52" s="5" t="s">
        <v>62</v>
      </c>
    </row>
    <row r="53" spans="1:8" x14ac:dyDescent="0.35">
      <c r="A53" s="2" t="s">
        <v>50</v>
      </c>
      <c r="B53" s="5" t="s">
        <v>112</v>
      </c>
      <c r="C53" s="5">
        <v>0</v>
      </c>
      <c r="D53" s="5" t="s">
        <v>90</v>
      </c>
      <c r="E53" s="5">
        <v>0</v>
      </c>
      <c r="F53" s="5">
        <v>0.999</v>
      </c>
      <c r="G53" s="5">
        <v>0</v>
      </c>
      <c r="H53" s="5" t="s">
        <v>62</v>
      </c>
    </row>
    <row r="54" spans="1:8" x14ac:dyDescent="0.35">
      <c r="A54" s="2" t="s">
        <v>53</v>
      </c>
      <c r="B54" s="5" t="s">
        <v>66</v>
      </c>
      <c r="C54" s="5">
        <v>5.5119999999999996</v>
      </c>
      <c r="D54" s="5" t="s">
        <v>67</v>
      </c>
      <c r="E54" s="5">
        <v>266</v>
      </c>
      <c r="F54" s="5">
        <v>0.249</v>
      </c>
      <c r="G54" s="5">
        <v>0.191</v>
      </c>
      <c r="H54" s="5" t="s">
        <v>64</v>
      </c>
    </row>
    <row r="55" spans="1:8" x14ac:dyDescent="0.35">
      <c r="A55" s="2" t="s">
        <v>52</v>
      </c>
      <c r="B55" s="6" t="s">
        <v>85</v>
      </c>
      <c r="C55" s="6">
        <v>19.736000000000001</v>
      </c>
      <c r="D55" s="6" t="s">
        <v>67</v>
      </c>
      <c r="E55" s="6">
        <v>15.6</v>
      </c>
      <c r="F55" s="6">
        <v>3.3399999999999999E-2</v>
      </c>
      <c r="G55" s="6">
        <v>0</v>
      </c>
      <c r="H55" s="6" t="s">
        <v>62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3E08A-7842-4ED9-B970-7917D919EBA0}">
  <dimension ref="A1:H55"/>
  <sheetViews>
    <sheetView workbookViewId="0">
      <selection activeCell="B6" sqref="A1:H55"/>
    </sheetView>
  </sheetViews>
  <sheetFormatPr defaultRowHeight="14.5" x14ac:dyDescent="0.35"/>
  <cols>
    <col min="1" max="1" width="10.36328125" customWidth="1"/>
    <col min="2" max="2" width="28" customWidth="1"/>
    <col min="3" max="3" width="12.90625" customWidth="1"/>
    <col min="4" max="4" width="18.6328125" customWidth="1"/>
    <col min="5" max="5" width="11.36328125" customWidth="1"/>
    <col min="6" max="6" width="17.08984375" customWidth="1"/>
    <col min="7" max="7" width="20.36328125" customWidth="1"/>
  </cols>
  <sheetData>
    <row r="1" spans="1:8" x14ac:dyDescent="0.35">
      <c r="A1" s="1" t="s">
        <v>0</v>
      </c>
      <c r="B1" t="s">
        <v>55</v>
      </c>
      <c r="C1" t="s">
        <v>56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</row>
    <row r="2" spans="1:8" ht="26" x14ac:dyDescent="0.35">
      <c r="A2" s="2" t="s">
        <v>4</v>
      </c>
      <c r="B2" t="str">
        <f>INDEX([1]Table_S4_Clint_Data_Summary!$A$2:$I$55,MATCH(A2,[1]Table_S4_Clint_Data_Summary!$B$2:$B$55,0),1)</f>
        <v>N-Ethylperfluorooctanesulfonamide</v>
      </c>
      <c r="C2">
        <f>INDEX([1]Table_S4_Clint_Data_Summary!$A$2:$I$55,MATCH($A2,[1]Table_S4_Clint_Data_Summary!$B$2:$B$55,0),7)</f>
        <v>24.92</v>
      </c>
      <c r="D2">
        <f>INDEX([1]Table_S4_Clint_Data_Summary!$A$2:$I$55,MATCH($A2,[1]Table_S4_Clint_Data_Summary!$B$2:$B$55,0),8)</f>
        <v>1E-4</v>
      </c>
      <c r="E2">
        <f>INDEX([2]!Table1[[DTXSID]:[degrades.pValue]],MATCH($A2,[2]!Table1[DTXSID],0),3)</f>
        <v>164</v>
      </c>
      <c r="F2">
        <f>INDEX([2]!Table1[[DTXSID]:[degrades.pValue]],MATCH($A2,[2]!Table1[DTXSID],0),9)</f>
        <v>5.8900000000000001E-2</v>
      </c>
      <c r="G2">
        <f>INDEX([2]!Table1[[DTXSID]:[degrades.pValue]],MATCH($A2,[2]!Table1[DTXSID],0),11)</f>
        <v>0</v>
      </c>
      <c r="H2" t="str">
        <f>IF(OR(AND(Table1[[#This Row],[ManualClintpValue]]&lt;0.05,Table1[[#This Row],[BayesClintpValue]]&lt;0.05),AND(Table1[[#This Row],[ManualClintpValue]]&gt;0.05,Table1[[#This Row],[BayesClintpValue]]&gt;0.5)),"Y","N")</f>
        <v>N</v>
      </c>
    </row>
    <row r="3" spans="1:8" x14ac:dyDescent="0.35">
      <c r="A3" s="4" t="s">
        <v>13</v>
      </c>
      <c r="B3" t="str">
        <f>INDEX([1]Table_S4_Clint_Data_Summary!$A$2:$I$55,MATCH(A3,[1]Table_S4_Clint_Data_Summary!$B$2:$B$55,0),1)</f>
        <v>Ammonium perfluorooctanoate</v>
      </c>
      <c r="C3">
        <f>INDEX([1]Table_S4_Clint_Data_Summary!$A$2:$I$55,MATCH($A3,[1]Table_S4_Clint_Data_Summary!$B$2:$B$55,0),7)</f>
        <v>2.06</v>
      </c>
      <c r="D3">
        <f>INDEX([1]Table_S4_Clint_Data_Summary!$A$2:$I$55,MATCH($A3,[1]Table_S4_Clint_Data_Summary!$B$2:$B$55,0),8)</f>
        <v>2.1700000000000001E-2</v>
      </c>
      <c r="E3">
        <f>INDEX([2]!Table1[[DTXSID]:[degrades.pValue]],MATCH($A3,[2]!Table1[DTXSID],0),3)</f>
        <v>10.8</v>
      </c>
      <c r="F3">
        <f>INDEX([2]!Table1[[DTXSID]:[degrades.pValue]],MATCH($A3,[2]!Table1[DTXSID],0),9)</f>
        <v>0.109</v>
      </c>
      <c r="G3">
        <f>INDEX([2]!Table1[[DTXSID]:[degrades.pValue]],MATCH($A3,[2]!Table1[DTXSID],0),11)</f>
        <v>0.88300000000000001</v>
      </c>
      <c r="H3" t="str">
        <f>IF(OR(AND(Table1[[#This Row],[ManualClintpValue]]&lt;0.05,Table1[[#This Row],[BayesClintpValue]]&lt;0.05),AND(Table1[[#This Row],[ManualClintpValue]]&gt;0.05,Table1[[#This Row],[BayesClintpValue]]&gt;0.5)),"Y","N")</f>
        <v>N</v>
      </c>
    </row>
    <row r="4" spans="1:8" ht="26" x14ac:dyDescent="0.35">
      <c r="A4" s="2" t="s">
        <v>53</v>
      </c>
      <c r="B4" t="str">
        <f>INDEX([1]Table_S4_Clint_Data_Summary!$A$2:$I$55,MATCH(A4,[1]Table_S4_Clint_Data_Summary!$B$2:$B$55,0),1)</f>
        <v>Perfluoro(2-ethoxyethane)sulfonic acid</v>
      </c>
      <c r="C4">
        <f>INDEX([1]Table_S4_Clint_Data_Summary!$A$2:$I$55,MATCH($A4,[1]Table_S4_Clint_Data_Summary!$B$2:$B$55,0),7)</f>
        <v>5.5119999999999996</v>
      </c>
      <c r="D4" t="str">
        <f>INDEX([1]Table_S4_Clint_Data_Summary!$A$2:$I$55,MATCH($A4,[1]Table_S4_Clint_Data_Summary!$B$2:$B$55,0),8)</f>
        <v>Sig</v>
      </c>
      <c r="E4">
        <f>INDEX([2]!Table1[[DTXSID]:[degrades.pValue]],MATCH($A4,[2]!Table1[DTXSID],0),3)</f>
        <v>266</v>
      </c>
      <c r="F4">
        <f>INDEX([2]!Table1[[DTXSID]:[degrades.pValue]],MATCH($A4,[2]!Table1[DTXSID],0),9)</f>
        <v>0.249</v>
      </c>
      <c r="G4">
        <f>INDEX([2]!Table1[[DTXSID]:[degrades.pValue]],MATCH($A4,[2]!Table1[DTXSID],0),11)</f>
        <v>0.191</v>
      </c>
      <c r="H4" t="str">
        <f>IF(OR(AND(Table1[[#This Row],[ManualClintpValue]]&lt;0.05,Table1[[#This Row],[BayesClintpValue]]&lt;0.05),AND(Table1[[#This Row],[ManualClintpValue]]&gt;0.05,Table1[[#This Row],[BayesClintpValue]]&gt;0.5)),"Y","N")</f>
        <v>N</v>
      </c>
    </row>
    <row r="5" spans="1:8" ht="26" x14ac:dyDescent="0.35">
      <c r="A5" s="2" t="s">
        <v>35</v>
      </c>
      <c r="B5" t="str">
        <f>INDEX([1]Table_S4_Clint_Data_Summary!$A$2:$I$55,MATCH(A5,[1]Table_S4_Clint_Data_Summary!$B$2:$B$55,0),1)</f>
        <v>Perfluorononanoic acid</v>
      </c>
      <c r="C5">
        <f>INDEX([1]Table_S4_Clint_Data_Summary!$A$2:$I$55,MATCH($A5,[1]Table_S4_Clint_Data_Summary!$B$2:$B$55,0),7)</f>
        <v>0.83</v>
      </c>
      <c r="D5">
        <f>INDEX([1]Table_S4_Clint_Data_Summary!$A$2:$I$55,MATCH($A5,[1]Table_S4_Clint_Data_Summary!$B$2:$B$55,0),8)</f>
        <v>0.38319999999999999</v>
      </c>
      <c r="E5">
        <f>INDEX([2]!Table1[[DTXSID]:[degrades.pValue]],MATCH($A5,[2]!Table1[DTXSID],0),3)</f>
        <v>10.4</v>
      </c>
      <c r="F5">
        <f>INDEX([2]!Table1[[DTXSID]:[degrades.pValue]],MATCH($A5,[2]!Table1[DTXSID],0),9)</f>
        <v>0.373</v>
      </c>
      <c r="G5">
        <f>INDEX([2]!Table1[[DTXSID]:[degrades.pValue]],MATCH($A5,[2]!Table1[DTXSID],0),11)</f>
        <v>0.627</v>
      </c>
      <c r="H5" t="str">
        <f>IF(OR(AND(Table1[[#This Row],[ManualClintpValue]]&lt;0.05,Table1[[#This Row],[BayesClintpValue]]&lt;0.05),AND(Table1[[#This Row],[ManualClintpValue]]&gt;0.05,Table1[[#This Row],[BayesClintpValue]]&gt;0.5)),"Y","N")</f>
        <v>N</v>
      </c>
    </row>
    <row r="6" spans="1:8" ht="26" x14ac:dyDescent="0.35">
      <c r="A6" s="2" t="s">
        <v>23</v>
      </c>
      <c r="B6" t="str">
        <f>INDEX([1]Table_S4_Clint_Data_Summary!$A$2:$I$55,MATCH(A6,[1]Table_S4_Clint_Data_Summary!$B$2:$B$55,0),1)</f>
        <v>Sodium perfluorodecanesulfonate</v>
      </c>
      <c r="C6">
        <f>INDEX([1]Table_S4_Clint_Data_Summary!$A$2:$I$55,MATCH($A6,[1]Table_S4_Clint_Data_Summary!$B$2:$B$55,0),7)</f>
        <v>3.39</v>
      </c>
      <c r="D6">
        <f>INDEX([1]Table_S4_Clint_Data_Summary!$A$2:$I$55,MATCH($A6,[1]Table_S4_Clint_Data_Summary!$B$2:$B$55,0),8)</f>
        <v>8.5699999999999998E-2</v>
      </c>
      <c r="E6">
        <f>INDEX([2]!Table1[[DTXSID]:[degrades.pValue]],MATCH($A6,[2]!Table1[DTXSID],0),3)</f>
        <v>4.87</v>
      </c>
      <c r="F6">
        <f>INDEX([2]!Table1[[DTXSID]:[degrades.pValue]],MATCH($A6,[2]!Table1[DTXSID],0),9)</f>
        <v>0.38400000000000001</v>
      </c>
      <c r="G6">
        <f>INDEX([2]!Table1[[DTXSID]:[degrades.pValue]],MATCH($A6,[2]!Table1[DTXSID],0),11)</f>
        <v>0.89400000000000002</v>
      </c>
      <c r="H6" t="str">
        <f>IF(OR(AND(Table1[[#This Row],[ManualClintpValue]]&lt;0.05,Table1[[#This Row],[BayesClintpValue]]&lt;0.05),AND(Table1[[#This Row],[ManualClintpValue]]&gt;0.05,Table1[[#This Row],[BayesClintpValue]]&gt;0.5)),"Y","N")</f>
        <v>N</v>
      </c>
    </row>
    <row r="7" spans="1:8" x14ac:dyDescent="0.35">
      <c r="A7" s="3" t="s">
        <v>2</v>
      </c>
      <c r="B7" t="str">
        <f>INDEX([1]Table_S4_Clint_Data_Summary!$A$2:$I$55,MATCH(A7,[1]Table_S4_Clint_Data_Summary!$B$2:$B$55,0),1)</f>
        <v>6:3 Fluorotelomer carboxylic acid</v>
      </c>
      <c r="C7">
        <f>INDEX([1]Table_S4_Clint_Data_Summary!$A$2:$I$55,MATCH($A7,[1]Table_S4_Clint_Data_Summary!$B$2:$B$55,0),7)</f>
        <v>5.0460000000000003</v>
      </c>
      <c r="D7">
        <f>INDEX([1]Table_S4_Clint_Data_Summary!$A$2:$I$55,MATCH($A7,[1]Table_S4_Clint_Data_Summary!$B$2:$B$55,0),8)</f>
        <v>1E-4</v>
      </c>
      <c r="E7">
        <f>INDEX([2]!Table1[[DTXSID]:[degrades.pValue]],MATCH($A7,[2]!Table1[DTXSID],0),3)</f>
        <v>0</v>
      </c>
      <c r="F7">
        <f>INDEX([2]!Table1[[DTXSID]:[degrades.pValue]],MATCH($A7,[2]!Table1[DTXSID],0),9)</f>
        <v>0.52100000000000002</v>
      </c>
      <c r="G7">
        <f>INDEX([2]!Table1[[DTXSID]:[degrades.pValue]],MATCH($A7,[2]!Table1[DTXSID],0),11)</f>
        <v>0</v>
      </c>
      <c r="H7" t="str">
        <f>IF(OR(AND(Table1[[#This Row],[ManualClintpValue]]&lt;0.05,Table1[[#This Row],[BayesClintpValue]]&lt;0.05),AND(Table1[[#This Row],[ManualClintpValue]]&gt;0.05,Table1[[#This Row],[BayesClintpValue]]&gt;0.5)),"Y","N")</f>
        <v>N</v>
      </c>
    </row>
    <row r="8" spans="1:8" ht="26" x14ac:dyDescent="0.35">
      <c r="A8" s="2" t="s">
        <v>8</v>
      </c>
      <c r="B8" t="str">
        <f>INDEX([1]Table_S4_Clint_Data_Summary!$A$2:$I$55,MATCH(A8,[1]Table_S4_Clint_Data_Summary!$B$2:$B$55,0),1)</f>
        <v>3,3-Bis(trifluoromethyl)-2-propenoic acid</v>
      </c>
      <c r="C8">
        <f>INDEX([1]Table_S4_Clint_Data_Summary!$A$2:$I$55,MATCH($A8,[1]Table_S4_Clint_Data_Summary!$B$2:$B$55,0),7)</f>
        <v>1.82</v>
      </c>
      <c r="D8">
        <f>INDEX([1]Table_S4_Clint_Data_Summary!$A$2:$I$55,MATCH($A8,[1]Table_S4_Clint_Data_Summary!$B$2:$B$55,0),8)</f>
        <v>4.0000000000000002E-4</v>
      </c>
      <c r="E8">
        <f>INDEX([2]!Table1[[DTXSID]:[degrades.pValue]],MATCH($A8,[2]!Table1[DTXSID],0),3)</f>
        <v>0</v>
      </c>
      <c r="F8">
        <f>INDEX([2]!Table1[[DTXSID]:[degrades.pValue]],MATCH($A8,[2]!Table1[DTXSID],0),9)</f>
        <v>0.76800000000000002</v>
      </c>
      <c r="G8">
        <f>INDEX([2]!Table1[[DTXSID]:[degrades.pValue]],MATCH($A8,[2]!Table1[DTXSID],0),11)</f>
        <v>0.221</v>
      </c>
      <c r="H8" t="str">
        <f>IF(OR(AND(Table1[[#This Row],[ManualClintpValue]]&lt;0.05,Table1[[#This Row],[BayesClintpValue]]&lt;0.05),AND(Table1[[#This Row],[ManualClintpValue]]&gt;0.05,Table1[[#This Row],[BayesClintpValue]]&gt;0.5)),"Y","N")</f>
        <v>N</v>
      </c>
    </row>
    <row r="9" spans="1:8" ht="26" x14ac:dyDescent="0.35">
      <c r="A9" s="2" t="s">
        <v>12</v>
      </c>
      <c r="B9" t="str">
        <f>INDEX([1]Table_S4_Clint_Data_Summary!$A$2:$I$55,MATCH(A9,[1]Table_S4_Clint_Data_Summary!$B$2:$B$55,0),1)</f>
        <v>Perfluoroheptanoic acid</v>
      </c>
      <c r="C9">
        <f>INDEX([1]Table_S4_Clint_Data_Summary!$A$2:$I$55,MATCH($A9,[1]Table_S4_Clint_Data_Summary!$B$2:$B$55,0),7)</f>
        <v>3.12</v>
      </c>
      <c r="D9">
        <f>INDEX([1]Table_S4_Clint_Data_Summary!$A$2:$I$55,MATCH($A9,[1]Table_S4_Clint_Data_Summary!$B$2:$B$55,0),8)</f>
        <v>4.8999999999999998E-3</v>
      </c>
      <c r="E9">
        <f>INDEX([2]!Table1[[DTXSID]:[degrades.pValue]],MATCH($A9,[2]!Table1[DTXSID],0),3)</f>
        <v>0</v>
      </c>
      <c r="F9">
        <f>INDEX([2]!Table1[[DTXSID]:[degrades.pValue]],MATCH($A9,[2]!Table1[DTXSID],0),9)</f>
        <v>0.94899999999999995</v>
      </c>
      <c r="G9">
        <f>INDEX([2]!Table1[[DTXSID]:[degrades.pValue]],MATCH($A9,[2]!Table1[DTXSID],0),11)</f>
        <v>8.5000000000000006E-3</v>
      </c>
      <c r="H9" t="str">
        <f>IF(OR(AND(Table1[[#This Row],[ManualClintpValue]]&lt;0.05,Table1[[#This Row],[BayesClintpValue]]&lt;0.05),AND(Table1[[#This Row],[ManualClintpValue]]&gt;0.05,Table1[[#This Row],[BayesClintpValue]]&gt;0.5)),"Y","N")</f>
        <v>N</v>
      </c>
    </row>
    <row r="10" spans="1:8" ht="26" x14ac:dyDescent="0.35">
      <c r="A10" s="2" t="s">
        <v>14</v>
      </c>
      <c r="B10" t="str">
        <f>INDEX([1]Table_S4_Clint_Data_Summary!$A$2:$I$55,MATCH(A10,[1]Table_S4_Clint_Data_Summary!$B$2:$B$55,0),1)</f>
        <v>6:2 Fluorotelomer sulfonic acid</v>
      </c>
      <c r="C10">
        <f>INDEX([1]Table_S4_Clint_Data_Summary!$A$2:$I$55,MATCH($A10,[1]Table_S4_Clint_Data_Summary!$B$2:$B$55,0),7)</f>
        <v>1.401</v>
      </c>
      <c r="D10">
        <f>INDEX([1]Table_S4_Clint_Data_Summary!$A$2:$I$55,MATCH($A10,[1]Table_S4_Clint_Data_Summary!$B$2:$B$55,0),8)</f>
        <v>2.2700000000000001E-2</v>
      </c>
      <c r="E10">
        <f>INDEX([2]!Table1[[DTXSID]:[degrades.pValue]],MATCH($A10,[2]!Table1[DTXSID],0),3)</f>
        <v>0</v>
      </c>
      <c r="F10">
        <f>INDEX([2]!Table1[[DTXSID]:[degrades.pValue]],MATCH($A10,[2]!Table1[DTXSID],0),9)</f>
        <v>0.94899999999999995</v>
      </c>
      <c r="G10">
        <f>INDEX([2]!Table1[[DTXSID]:[degrades.pValue]],MATCH($A10,[2]!Table1[DTXSID],0),11)</f>
        <v>0.94799999999999995</v>
      </c>
      <c r="H10" t="str">
        <f>IF(OR(AND(Table1[[#This Row],[ManualClintpValue]]&lt;0.05,Table1[[#This Row],[BayesClintpValue]]&lt;0.05),AND(Table1[[#This Row],[ManualClintpValue]]&gt;0.05,Table1[[#This Row],[BayesClintpValue]]&gt;0.5)),"Y","N")</f>
        <v>N</v>
      </c>
    </row>
    <row r="11" spans="1:8" ht="26" x14ac:dyDescent="0.35">
      <c r="A11" s="2" t="s">
        <v>9</v>
      </c>
      <c r="B11" t="str">
        <f>INDEX([1]Table_S4_Clint_Data_Summary!$A$2:$I$55,MATCH(A11,[1]Table_S4_Clint_Data_Summary!$B$2:$B$55,0),1)</f>
        <v>Perfluorobutanesulfonic acid</v>
      </c>
      <c r="C11">
        <f>INDEX([1]Table_S4_Clint_Data_Summary!$A$2:$I$55,MATCH($A11,[1]Table_S4_Clint_Data_Summary!$B$2:$B$55,0),7)</f>
        <v>4.75</v>
      </c>
      <c r="D11">
        <f>INDEX([1]Table_S4_Clint_Data_Summary!$A$2:$I$55,MATCH($A11,[1]Table_S4_Clint_Data_Summary!$B$2:$B$55,0),8)</f>
        <v>4.0000000000000002E-4</v>
      </c>
      <c r="E11">
        <f>INDEX([2]!Table1[[DTXSID]:[degrades.pValue]],MATCH($A11,[2]!Table1[DTXSID],0),3)</f>
        <v>0</v>
      </c>
      <c r="F11">
        <f>INDEX([2]!Table1[[DTXSID]:[degrades.pValue]],MATCH($A11,[2]!Table1[DTXSID],0),9)</f>
        <v>0.96799999999999997</v>
      </c>
      <c r="G11">
        <f>INDEX([2]!Table1[[DTXSID]:[degrades.pValue]],MATCH($A11,[2]!Table1[DTXSID],0),11)</f>
        <v>0</v>
      </c>
      <c r="H11" t="str">
        <f>IF(OR(AND(Table1[[#This Row],[ManualClintpValue]]&lt;0.05,Table1[[#This Row],[BayesClintpValue]]&lt;0.05),AND(Table1[[#This Row],[ManualClintpValue]]&gt;0.05,Table1[[#This Row],[BayesClintpValue]]&gt;0.5)),"Y","N")</f>
        <v>N</v>
      </c>
    </row>
    <row r="12" spans="1:8" ht="26" x14ac:dyDescent="0.35">
      <c r="A12" s="2" t="s">
        <v>7</v>
      </c>
      <c r="B12" t="str">
        <f>INDEX([1]Table_S4_Clint_Data_Summary!$A$2:$I$55,MATCH(A12,[1]Table_S4_Clint_Data_Summary!$B$2:$B$55,0),1)</f>
        <v>4:2 Fluorotelomer sulfonic acid</v>
      </c>
      <c r="C12">
        <f>INDEX([1]Table_S4_Clint_Data_Summary!$A$2:$I$55,MATCH($A12,[1]Table_S4_Clint_Data_Summary!$B$2:$B$55,0),7)</f>
        <v>4.28</v>
      </c>
      <c r="D12">
        <f>INDEX([1]Table_S4_Clint_Data_Summary!$A$2:$I$55,MATCH($A12,[1]Table_S4_Clint_Data_Summary!$B$2:$B$55,0),8)</f>
        <v>4.0000000000000002E-4</v>
      </c>
      <c r="E12">
        <f>INDEX([2]!Table1[[DTXSID]:[degrades.pValue]],MATCH($A12,[2]!Table1[DTXSID],0),3)</f>
        <v>0</v>
      </c>
      <c r="F12">
        <f>INDEX([2]!Table1[[DTXSID]:[degrades.pValue]],MATCH($A12,[2]!Table1[DTXSID],0),9)</f>
        <v>0.97299999999999998</v>
      </c>
      <c r="G12">
        <f>INDEX([2]!Table1[[DTXSID]:[degrades.pValue]],MATCH($A12,[2]!Table1[DTXSID],0),11)</f>
        <v>2.1600000000000001E-2</v>
      </c>
      <c r="H12" t="str">
        <f>IF(OR(AND(Table1[[#This Row],[ManualClintpValue]]&lt;0.05,Table1[[#This Row],[BayesClintpValue]]&lt;0.05),AND(Table1[[#This Row],[ManualClintpValue]]&gt;0.05,Table1[[#This Row],[BayesClintpValue]]&gt;0.5)),"Y","N")</f>
        <v>N</v>
      </c>
    </row>
    <row r="13" spans="1:8" ht="26" x14ac:dyDescent="0.35">
      <c r="A13" s="2" t="s">
        <v>17</v>
      </c>
      <c r="B13" t="str">
        <f>INDEX([1]Table_S4_Clint_Data_Summary!$A$2:$I$55,MATCH(A13,[1]Table_S4_Clint_Data_Summary!$B$2:$B$55,0),1)</f>
        <v>Perfluoro(4-methoxybutanoic) acid</v>
      </c>
      <c r="C13">
        <f>INDEX([1]Table_S4_Clint_Data_Summary!$A$2:$I$55,MATCH($A13,[1]Table_S4_Clint_Data_Summary!$B$2:$B$55,0),7)</f>
        <v>1.5</v>
      </c>
      <c r="D13">
        <f>INDEX([1]Table_S4_Clint_Data_Summary!$A$2:$I$55,MATCH($A13,[1]Table_S4_Clint_Data_Summary!$B$2:$B$55,0),8)</f>
        <v>3.8600000000000002E-2</v>
      </c>
      <c r="E13">
        <f>INDEX([2]!Table1[[DTXSID]:[degrades.pValue]],MATCH($A13,[2]!Table1[DTXSID],0),3)</f>
        <v>0</v>
      </c>
      <c r="F13">
        <f>INDEX([2]!Table1[[DTXSID]:[degrades.pValue]],MATCH($A13,[2]!Table1[DTXSID],0),9)</f>
        <v>0.996</v>
      </c>
      <c r="G13">
        <f>INDEX([2]!Table1[[DTXSID]:[degrades.pValue]],MATCH($A13,[2]!Table1[DTXSID],0),11)</f>
        <v>0</v>
      </c>
      <c r="H13" t="str">
        <f>IF(OR(AND(Table1[[#This Row],[ManualClintpValue]]&lt;0.05,Table1[[#This Row],[BayesClintpValue]]&lt;0.05),AND(Table1[[#This Row],[ManualClintpValue]]&gt;0.05,Table1[[#This Row],[BayesClintpValue]]&gt;0.5)),"Y","N")</f>
        <v>N</v>
      </c>
    </row>
    <row r="14" spans="1:8" ht="26" x14ac:dyDescent="0.35">
      <c r="A14" s="2" t="s">
        <v>54</v>
      </c>
      <c r="B14" t="str">
        <f>INDEX([1]Table_S4_Clint_Data_Summary!$A$2:$I$55,MATCH(A14,[1]Table_S4_Clint_Data_Summary!$B$2:$B$55,0),1)</f>
        <v>Perfluorotetradecanoic acid</v>
      </c>
      <c r="C14">
        <f>INDEX([1]Table_S4_Clint_Data_Summary!$A$2:$I$55,MATCH($A14,[1]Table_S4_Clint_Data_Summary!$B$2:$B$55,0),7)</f>
        <v>0</v>
      </c>
      <c r="D14">
        <f>INDEX([1]Table_S4_Clint_Data_Summary!$A$2:$I$55,MATCH($A14,[1]Table_S4_Clint_Data_Summary!$B$2:$B$55,0),8)</f>
        <v>0</v>
      </c>
      <c r="E14">
        <f>INDEX([2]!Table1[[DTXSID]:[degrades.pValue]],MATCH($A14,[2]!Table1[DTXSID],0),3)</f>
        <v>0</v>
      </c>
      <c r="F14">
        <f>INDEX([2]!Table1[[DTXSID]:[degrades.pValue]],MATCH($A14,[2]!Table1[DTXSID],0),9)</f>
        <v>0.997</v>
      </c>
      <c r="G14">
        <f>INDEX([2]!Table1[[DTXSID]:[degrades.pValue]],MATCH($A14,[2]!Table1[DTXSID],0),11)</f>
        <v>1</v>
      </c>
      <c r="H14" t="str">
        <f>IF(OR(AND(Table1[[#This Row],[ManualClintpValue]]&lt;0.05,Table1[[#This Row],[BayesClintpValue]]&lt;0.05),AND(Table1[[#This Row],[ManualClintpValue]]&gt;0.05,Table1[[#This Row],[BayesClintpValue]]&gt;0.5)),"Y","N")</f>
        <v>N</v>
      </c>
    </row>
    <row r="15" spans="1:8" ht="26" x14ac:dyDescent="0.35">
      <c r="A15" s="2" t="s">
        <v>11</v>
      </c>
      <c r="B15" t="str">
        <f>INDEX([1]Table_S4_Clint_Data_Summary!$A$2:$I$55,MATCH(A15,[1]Table_S4_Clint_Data_Summary!$B$2:$B$55,0),1)</f>
        <v>8:2 Fluorotelomer sulfonic acid</v>
      </c>
      <c r="C15">
        <f>INDEX([1]Table_S4_Clint_Data_Summary!$A$2:$I$55,MATCH($A15,[1]Table_S4_Clint_Data_Summary!$B$2:$B$55,0),7)</f>
        <v>1.5284</v>
      </c>
      <c r="D15">
        <f>INDEX([1]Table_S4_Clint_Data_Summary!$A$2:$I$55,MATCH($A15,[1]Table_S4_Clint_Data_Summary!$B$2:$B$55,0),8)</f>
        <v>4.4999999999999997E-3</v>
      </c>
      <c r="E15">
        <f>INDEX([2]!Table1[[DTXSID]:[degrades.pValue]],MATCH($A15,[2]!Table1[DTXSID],0),3)</f>
        <v>0</v>
      </c>
      <c r="F15">
        <f>INDEX([2]!Table1[[DTXSID]:[degrades.pValue]],MATCH($A15,[2]!Table1[DTXSID],0),9)</f>
        <v>0.997</v>
      </c>
      <c r="G15">
        <f>INDEX([2]!Table1[[DTXSID]:[degrades.pValue]],MATCH($A15,[2]!Table1[DTXSID],0),11)</f>
        <v>0.997</v>
      </c>
      <c r="H15" t="str">
        <f>IF(OR(AND(Table1[[#This Row],[ManualClintpValue]]&lt;0.05,Table1[[#This Row],[BayesClintpValue]]&lt;0.05),AND(Table1[[#This Row],[ManualClintpValue]]&gt;0.05,Table1[[#This Row],[BayesClintpValue]]&gt;0.5)),"Y","N")</f>
        <v>N</v>
      </c>
    </row>
    <row r="16" spans="1:8" ht="26" x14ac:dyDescent="0.35">
      <c r="A16" s="2" t="s">
        <v>18</v>
      </c>
      <c r="B16" t="str">
        <f>INDEX([1]Table_S4_Clint_Data_Summary!$A$2:$I$55,MATCH(A16,[1]Table_S4_Clint_Data_Summary!$B$2:$B$55,0),1)</f>
        <v>Perfluorohexanoic acid</v>
      </c>
      <c r="C16">
        <f>INDEX([1]Table_S4_Clint_Data_Summary!$A$2:$I$55,MATCH($A16,[1]Table_S4_Clint_Data_Summary!$B$2:$B$55,0),7)</f>
        <v>1.62</v>
      </c>
      <c r="D16">
        <f>INDEX([1]Table_S4_Clint_Data_Summary!$A$2:$I$55,MATCH($A16,[1]Table_S4_Clint_Data_Summary!$B$2:$B$55,0),8)</f>
        <v>4.1099999999999998E-2</v>
      </c>
      <c r="E16">
        <f>INDEX([2]!Table1[[DTXSID]:[degrades.pValue]],MATCH($A16,[2]!Table1[DTXSID],0),3)</f>
        <v>0</v>
      </c>
      <c r="F16">
        <f>INDEX([2]!Table1[[DTXSID]:[degrades.pValue]],MATCH($A16,[2]!Table1[DTXSID],0),9)</f>
        <v>0.998</v>
      </c>
      <c r="G16">
        <f>INDEX([2]!Table1[[DTXSID]:[degrades.pValue]],MATCH($A16,[2]!Table1[DTXSID],0),11)</f>
        <v>0</v>
      </c>
      <c r="H16" t="str">
        <f>IF(OR(AND(Table1[[#This Row],[ManualClintpValue]]&lt;0.05,Table1[[#This Row],[BayesClintpValue]]&lt;0.05),AND(Table1[[#This Row],[ManualClintpValue]]&gt;0.05,Table1[[#This Row],[BayesClintpValue]]&gt;0.5)),"Y","N")</f>
        <v>N</v>
      </c>
    </row>
    <row r="17" spans="1:8" x14ac:dyDescent="0.35">
      <c r="A17" s="4" t="s">
        <v>3</v>
      </c>
      <c r="B17" t="str">
        <f>INDEX([1]Table_S4_Clint_Data_Summary!$A$2:$I$55,MATCH(A17,[1]Table_S4_Clint_Data_Summary!$B$2:$B$55,0),1)</f>
        <v>Potassium perfluorooctanesulfonate</v>
      </c>
      <c r="C17">
        <f>INDEX([1]Table_S4_Clint_Data_Summary!$A$2:$I$55,MATCH($A17,[1]Table_S4_Clint_Data_Summary!$B$2:$B$55,0),7)</f>
        <v>2.96</v>
      </c>
      <c r="D17">
        <f>INDEX([1]Table_S4_Clint_Data_Summary!$A$2:$I$55,MATCH($A17,[1]Table_S4_Clint_Data_Summary!$B$2:$B$55,0),8)</f>
        <v>1E-4</v>
      </c>
      <c r="E17">
        <f>INDEX([2]!Table1[[DTXSID]:[degrades.pValue]],MATCH($A17,[2]!Table1[DTXSID],0),3)</f>
        <v>0</v>
      </c>
      <c r="F17">
        <f>INDEX([2]!Table1[[DTXSID]:[degrades.pValue]],MATCH($A17,[2]!Table1[DTXSID],0),9)</f>
        <v>0.999</v>
      </c>
      <c r="G17">
        <f>INDEX([2]!Table1[[DTXSID]:[degrades.pValue]],MATCH($A17,[2]!Table1[DTXSID],0),11)</f>
        <v>0</v>
      </c>
      <c r="H17" t="str">
        <f>IF(OR(AND(Table1[[#This Row],[ManualClintpValue]]&lt;0.05,Table1[[#This Row],[BayesClintpValue]]&lt;0.05),AND(Table1[[#This Row],[ManualClintpValue]]&gt;0.05,Table1[[#This Row],[BayesClintpValue]]&gt;0.5)),"Y","N")</f>
        <v>N</v>
      </c>
    </row>
    <row r="18" spans="1:8" ht="26" x14ac:dyDescent="0.35">
      <c r="A18" s="2" t="s">
        <v>6</v>
      </c>
      <c r="B18" t="str">
        <f>INDEX([1]Table_S4_Clint_Data_Summary!$A$2:$I$55,MATCH(A18,[1]Table_S4_Clint_Data_Summary!$B$2:$B$55,0),1)</f>
        <v>Perfluorooctanesulfonamide</v>
      </c>
      <c r="C18">
        <f>INDEX([1]Table_S4_Clint_Data_Summary!$A$2:$I$55,MATCH($A18,[1]Table_S4_Clint_Data_Summary!$B$2:$B$55,0),7)</f>
        <v>22.84</v>
      </c>
      <c r="D18">
        <f>INDEX([1]Table_S4_Clint_Data_Summary!$A$2:$I$55,MATCH($A18,[1]Table_S4_Clint_Data_Summary!$B$2:$B$55,0),8)</f>
        <v>1E-4</v>
      </c>
      <c r="E18">
        <f>INDEX([2]!Table1[[DTXSID]:[degrades.pValue]],MATCH($A18,[2]!Table1[DTXSID],0),3)</f>
        <v>0</v>
      </c>
      <c r="F18">
        <f>INDEX([2]!Table1[[DTXSID]:[degrades.pValue]],MATCH($A18,[2]!Table1[DTXSID],0),9)</f>
        <v>0.999</v>
      </c>
      <c r="G18">
        <f>INDEX([2]!Table1[[DTXSID]:[degrades.pValue]],MATCH($A18,[2]!Table1[DTXSID],0),11)</f>
        <v>0</v>
      </c>
      <c r="H18" t="str">
        <f>IF(OR(AND(Table1[[#This Row],[ManualClintpValue]]&lt;0.05,Table1[[#This Row],[BayesClintpValue]]&lt;0.05),AND(Table1[[#This Row],[ManualClintpValue]]&gt;0.05,Table1[[#This Row],[BayesClintpValue]]&gt;0.5)),"Y","N")</f>
        <v>N</v>
      </c>
    </row>
    <row r="19" spans="1:8" ht="26" x14ac:dyDescent="0.35">
      <c r="A19" s="2" t="s">
        <v>10</v>
      </c>
      <c r="B19" t="str">
        <f>INDEX([1]Table_S4_Clint_Data_Summary!$A$2:$I$55,MATCH(A19,[1]Table_S4_Clint_Data_Summary!$B$2:$B$55,0),1)</f>
        <v>Perfluoro-4-isopropoxybutanoic acid</v>
      </c>
      <c r="C19">
        <f>INDEX([1]Table_S4_Clint_Data_Summary!$A$2:$I$55,MATCH($A19,[1]Table_S4_Clint_Data_Summary!$B$2:$B$55,0),7)</f>
        <v>5.78</v>
      </c>
      <c r="D19">
        <f>INDEX([1]Table_S4_Clint_Data_Summary!$A$2:$I$55,MATCH($A19,[1]Table_S4_Clint_Data_Summary!$B$2:$B$55,0),8)</f>
        <v>2.7000000000000001E-3</v>
      </c>
      <c r="E19">
        <f>INDEX([2]!Table1[[DTXSID]:[degrades.pValue]],MATCH($A19,[2]!Table1[DTXSID],0),3)</f>
        <v>0</v>
      </c>
      <c r="F19">
        <f>INDEX([2]!Table1[[DTXSID]:[degrades.pValue]],MATCH($A19,[2]!Table1[DTXSID],0),9)</f>
        <v>0.999</v>
      </c>
      <c r="G19">
        <f>INDEX([2]!Table1[[DTXSID]:[degrades.pValue]],MATCH($A19,[2]!Table1[DTXSID],0),11)</f>
        <v>0</v>
      </c>
      <c r="H19" t="str">
        <f>IF(OR(AND(Table1[[#This Row],[ManualClintpValue]]&lt;0.05,Table1[[#This Row],[BayesClintpValue]]&lt;0.05),AND(Table1[[#This Row],[ManualClintpValue]]&gt;0.05,Table1[[#This Row],[BayesClintpValue]]&gt;0.5)),"Y","N")</f>
        <v>N</v>
      </c>
    </row>
    <row r="20" spans="1:8" ht="26" x14ac:dyDescent="0.35">
      <c r="A20" s="2" t="s">
        <v>15</v>
      </c>
      <c r="B20" t="str">
        <f>INDEX([1]Table_S4_Clint_Data_Summary!$A$2:$I$55,MATCH(A20,[1]Table_S4_Clint_Data_Summary!$B$2:$B$55,0),1)</f>
        <v>Sodium perfluorooctanoate</v>
      </c>
      <c r="C20">
        <f>INDEX([1]Table_S4_Clint_Data_Summary!$A$2:$I$55,MATCH($A20,[1]Table_S4_Clint_Data_Summary!$B$2:$B$55,0),7)</f>
        <v>2.34</v>
      </c>
      <c r="D20">
        <f>INDEX([1]Table_S4_Clint_Data_Summary!$A$2:$I$55,MATCH($A20,[1]Table_S4_Clint_Data_Summary!$B$2:$B$55,0),8)</f>
        <v>2.9600000000000001E-2</v>
      </c>
      <c r="E20">
        <f>INDEX([2]!Table1[[DTXSID]:[degrades.pValue]],MATCH($A20,[2]!Table1[DTXSID],0),3)</f>
        <v>0</v>
      </c>
      <c r="F20">
        <f>INDEX([2]!Table1[[DTXSID]:[degrades.pValue]],MATCH($A20,[2]!Table1[DTXSID],0),9)</f>
        <v>0.995</v>
      </c>
      <c r="G20">
        <f>INDEX([2]!Table1[[DTXSID]:[degrades.pValue]],MATCH($A20,[2]!Table1[DTXSID],0),11)</f>
        <v>2.2000000000000001E-4</v>
      </c>
      <c r="H20" t="str">
        <f>IF(OR(AND(Table1[[#This Row],[ManualClintpValue]]&lt;0.05,Table1[[#This Row],[BayesClintpValue]]&lt;0.05),AND(Table1[[#This Row],[ManualClintpValue]]&gt;0.05,Table1[[#This Row],[BayesClintpValue]]&gt;0.5)),"Y","N")</f>
        <v>N</v>
      </c>
    </row>
    <row r="21" spans="1:8" ht="26" x14ac:dyDescent="0.35">
      <c r="A21" s="2" t="s">
        <v>16</v>
      </c>
      <c r="B21" t="str">
        <f>INDEX([1]Table_S4_Clint_Data_Summary!$A$2:$I$55,MATCH(A21,[1]Table_S4_Clint_Data_Summary!$B$2:$B$55,0),1)</f>
        <v>Perfluorooctanoic acid</v>
      </c>
      <c r="C21">
        <f>INDEX([1]Table_S4_Clint_Data_Summary!$A$2:$I$55,MATCH($A21,[1]Table_S4_Clint_Data_Summary!$B$2:$B$55,0),7)</f>
        <v>1.49</v>
      </c>
      <c r="D21">
        <f>INDEX([1]Table_S4_Clint_Data_Summary!$A$2:$I$55,MATCH($A21,[1]Table_S4_Clint_Data_Summary!$B$2:$B$55,0),8)</f>
        <v>3.2099999999999997E-2</v>
      </c>
      <c r="E21">
        <f>INDEX([2]!Table1[[DTXSID]:[degrades.pValue]],MATCH($A21,[2]!Table1[DTXSID],0),3)</f>
        <v>0</v>
      </c>
      <c r="F21">
        <f>INDEX([2]!Table1[[DTXSID]:[degrades.pValue]],MATCH($A21,[2]!Table1[DTXSID],0),9)</f>
        <v>1</v>
      </c>
      <c r="G21">
        <f>INDEX([2]!Table1[[DTXSID]:[degrades.pValue]],MATCH($A21,[2]!Table1[DTXSID],0),11)</f>
        <v>0</v>
      </c>
      <c r="H21" t="str">
        <f>IF(OR(AND(Table1[[#This Row],[ManualClintpValue]]&lt;0.05,Table1[[#This Row],[BayesClintpValue]]&lt;0.05),AND(Table1[[#This Row],[ManualClintpValue]]&gt;0.05,Table1[[#This Row],[BayesClintpValue]]&gt;0.5)),"Y","N")</f>
        <v>N</v>
      </c>
    </row>
    <row r="22" spans="1:8" ht="26" x14ac:dyDescent="0.35">
      <c r="A22" s="2" t="s">
        <v>52</v>
      </c>
      <c r="B22" t="str">
        <f>INDEX([1]Table_S4_Clint_Data_Summary!$A$2:$I$55,MATCH(A22,[1]Table_S4_Clint_Data_Summary!$B$2:$B$55,0),1)</f>
        <v>3-Perfluoroheptylpropanoic acid (7:3 FTCA)</v>
      </c>
      <c r="C22">
        <f>INDEX([1]Table_S4_Clint_Data_Summary!$A$2:$I$55,MATCH($A22,[1]Table_S4_Clint_Data_Summary!$B$2:$B$55,0),7)</f>
        <v>19.736000000000001</v>
      </c>
      <c r="D22" t="str">
        <f>INDEX([1]Table_S4_Clint_Data_Summary!$A$2:$I$55,MATCH($A22,[1]Table_S4_Clint_Data_Summary!$B$2:$B$55,0),8)</f>
        <v>Sig</v>
      </c>
      <c r="E22">
        <f>INDEX([2]!Table1[[DTXSID]:[degrades.pValue]],MATCH($A22,[2]!Table1[DTXSID],0),3)</f>
        <v>15.6</v>
      </c>
      <c r="F22">
        <f>INDEX([2]!Table1[[DTXSID]:[degrades.pValue]],MATCH($A22,[2]!Table1[DTXSID],0),9)</f>
        <v>3.3399999999999999E-2</v>
      </c>
      <c r="G22">
        <f>INDEX([2]!Table1[[DTXSID]:[degrades.pValue]],MATCH($A22,[2]!Table1[DTXSID],0),11)</f>
        <v>0</v>
      </c>
      <c r="H22" t="s">
        <v>62</v>
      </c>
    </row>
    <row r="23" spans="1:8" ht="26" x14ac:dyDescent="0.35">
      <c r="A23" s="2" t="s">
        <v>1</v>
      </c>
      <c r="B23" t="str">
        <f>INDEX([1]Table_S4_Clint_Data_Summary!$A$2:$I$55,MATCH(A23,[1]Table_S4_Clint_Data_Summary!$B$2:$B$55,0),1)</f>
        <v>2H,2H,3H,3H-Perfluorooctanoic acid</v>
      </c>
      <c r="C23">
        <f>INDEX([1]Table_S4_Clint_Data_Summary!$A$2:$I$55,MATCH($A23,[1]Table_S4_Clint_Data_Summary!$B$2:$B$55,0),7)</f>
        <v>11.84</v>
      </c>
      <c r="D23">
        <f>INDEX([1]Table_S4_Clint_Data_Summary!$A$2:$I$55,MATCH($A23,[1]Table_S4_Clint_Data_Summary!$B$2:$B$55,0),8)</f>
        <v>1E-4</v>
      </c>
      <c r="E23">
        <f>INDEX([2]!Table1[[DTXSID]:[degrades.pValue]],MATCH($A23,[2]!Table1[DTXSID],0),3)</f>
        <v>19</v>
      </c>
      <c r="F23">
        <f>INDEX([2]!Table1[[DTXSID]:[degrades.pValue]],MATCH($A23,[2]!Table1[DTXSID],0),9)</f>
        <v>0</v>
      </c>
      <c r="G23">
        <f>INDEX([2]!Table1[[DTXSID]:[degrades.pValue]],MATCH($A23,[2]!Table1[DTXSID],0),11)</f>
        <v>0.95299999999999996</v>
      </c>
      <c r="H23" t="str">
        <f>IF(OR(AND(Table1[[#This Row],[ManualClintpValue]]&lt;0.05,Table1[[#This Row],[BayesClintpValue]]&lt;0.05),AND(Table1[[#This Row],[ManualClintpValue]]&gt;0.05,Table1[[#This Row],[BayesClintpValue]]&gt;0.5)),"Y","N")</f>
        <v>Y</v>
      </c>
    </row>
    <row r="24" spans="1:8" ht="26" x14ac:dyDescent="0.35">
      <c r="A24" s="2" t="s">
        <v>5</v>
      </c>
      <c r="B24" t="str">
        <f>INDEX([1]Table_S4_Clint_Data_Summary!$A$2:$I$55,MATCH(A24,[1]Table_S4_Clint_Data_Summary!$B$2:$B$55,0),1)</f>
        <v>N-Methylperfluorooctanesulfonamide</v>
      </c>
      <c r="C24">
        <f>INDEX([1]Table_S4_Clint_Data_Summary!$A$2:$I$55,MATCH($A24,[1]Table_S4_Clint_Data_Summary!$B$2:$B$55,0),7)</f>
        <v>33.229999999999997</v>
      </c>
      <c r="D24">
        <f>INDEX([1]Table_S4_Clint_Data_Summary!$A$2:$I$55,MATCH($A24,[1]Table_S4_Clint_Data_Summary!$B$2:$B$55,0),8)</f>
        <v>1E-4</v>
      </c>
      <c r="E24">
        <f>INDEX([2]!Table1[[DTXSID]:[degrades.pValue]],MATCH($A24,[2]!Table1[DTXSID],0),3)</f>
        <v>48.7</v>
      </c>
      <c r="F24">
        <f>INDEX([2]!Table1[[DTXSID]:[degrades.pValue]],MATCH($A24,[2]!Table1[DTXSID],0),9)</f>
        <v>0</v>
      </c>
      <c r="G24">
        <f>INDEX([2]!Table1[[DTXSID]:[degrades.pValue]],MATCH($A24,[2]!Table1[DTXSID],0),11)</f>
        <v>0</v>
      </c>
      <c r="H24" t="str">
        <f>IF(OR(AND(Table1[[#This Row],[ManualClintpValue]]&lt;0.05,Table1[[#This Row],[BayesClintpValue]]&lt;0.05),AND(Table1[[#This Row],[ManualClintpValue]]&gt;0.05,Table1[[#This Row],[BayesClintpValue]]&gt;0.5)),"Y","N")</f>
        <v>Y</v>
      </c>
    </row>
    <row r="25" spans="1:8" ht="26" x14ac:dyDescent="0.35">
      <c r="A25" s="2" t="s">
        <v>34</v>
      </c>
      <c r="B25" t="str">
        <f>INDEX([1]Table_S4_Clint_Data_Summary!$A$2:$I$55,MATCH(A25,[1]Table_S4_Clint_Data_Summary!$B$2:$B$55,0),1)</f>
        <v>Perfluorohexanesulfonic acid</v>
      </c>
      <c r="C25">
        <f>INDEX([1]Table_S4_Clint_Data_Summary!$A$2:$I$55,MATCH($A25,[1]Table_S4_Clint_Data_Summary!$B$2:$B$55,0),7)</f>
        <v>1.52</v>
      </c>
      <c r="D25">
        <f>INDEX([1]Table_S4_Clint_Data_Summary!$A$2:$I$55,MATCH($A25,[1]Table_S4_Clint_Data_Summary!$B$2:$B$55,0),8)</f>
        <v>0.3805</v>
      </c>
      <c r="E25">
        <f>INDEX([2]!Table1[[DTXSID]:[degrades.pValue]],MATCH($A25,[2]!Table1[DTXSID],0),3)</f>
        <v>0</v>
      </c>
      <c r="F25">
        <f>INDEX([2]!Table1[[DTXSID]:[degrades.pValue]],MATCH($A25,[2]!Table1[DTXSID],0),9)</f>
        <v>0.874</v>
      </c>
      <c r="G25">
        <f>INDEX([2]!Table1[[DTXSID]:[degrades.pValue]],MATCH($A25,[2]!Table1[DTXSID],0),11)</f>
        <v>0.122</v>
      </c>
      <c r="H25" t="str">
        <f>IF(OR(AND(Table1[[#This Row],[ManualClintpValue]]&lt;0.05,Table1[[#This Row],[BayesClintpValue]]&lt;0.05),AND(Table1[[#This Row],[ManualClintpValue]]&gt;0.05,Table1[[#This Row],[BayesClintpValue]]&gt;0.5)),"Y","N")</f>
        <v>Y</v>
      </c>
    </row>
    <row r="26" spans="1:8" x14ac:dyDescent="0.35">
      <c r="A26" s="4" t="s">
        <v>48</v>
      </c>
      <c r="B26" t="str">
        <f>INDEX([1]Table_S4_Clint_Data_Summary!$A$2:$I$55,MATCH(A26,[1]Table_S4_Clint_Data_Summary!$B$2:$B$55,0),1)</f>
        <v>Perfluoroheptanoyl chloride</v>
      </c>
      <c r="C26">
        <f>INDEX([1]Table_S4_Clint_Data_Summary!$A$2:$I$55,MATCH($A26,[1]Table_S4_Clint_Data_Summary!$B$2:$B$55,0),7)</f>
        <v>0</v>
      </c>
      <c r="D26" t="str">
        <f>INDEX([1]Table_S4_Clint_Data_Summary!$A$2:$I$55,MATCH($A26,[1]Table_S4_Clint_Data_Summary!$B$2:$B$55,0),8)</f>
        <v>NS</v>
      </c>
      <c r="E26">
        <f>INDEX([2]!Table1[[DTXSID]:[degrades.pValue]],MATCH($A26,[2]!Table1[DTXSID],0),3)</f>
        <v>0</v>
      </c>
      <c r="F26">
        <f>INDEX([2]!Table1[[DTXSID]:[degrades.pValue]],MATCH($A26,[2]!Table1[DTXSID],0),9)</f>
        <v>0.94899999999999995</v>
      </c>
      <c r="G26">
        <f>INDEX([2]!Table1[[DTXSID]:[degrades.pValue]],MATCH($A26,[2]!Table1[DTXSID],0),11)</f>
        <v>0.95099999999999996</v>
      </c>
      <c r="H26" t="str">
        <f>IF(OR(AND(Table1[[#This Row],[ManualClintpValue]]&lt;0.05,Table1[[#This Row],[BayesClintpValue]]&lt;0.05),AND(Table1[[#This Row],[ManualClintpValue]]&gt;0.05,Table1[[#This Row],[BayesClintpValue]]&gt;0.5)),"Y","N")</f>
        <v>Y</v>
      </c>
    </row>
    <row r="27" spans="1:8" ht="26" x14ac:dyDescent="0.35">
      <c r="A27" s="2" t="s">
        <v>32</v>
      </c>
      <c r="B27" t="str">
        <f>INDEX([1]Table_S4_Clint_Data_Summary!$A$2:$I$55,MATCH(A27,[1]Table_S4_Clint_Data_Summary!$B$2:$B$55,0),1)</f>
        <v>11-H-Perfluoroundecanoic acid</v>
      </c>
      <c r="C27">
        <f>INDEX([1]Table_S4_Clint_Data_Summary!$A$2:$I$55,MATCH($A27,[1]Table_S4_Clint_Data_Summary!$B$2:$B$55,0),7)</f>
        <v>0</v>
      </c>
      <c r="D27">
        <f>INDEX([1]Table_S4_Clint_Data_Summary!$A$2:$I$55,MATCH($A27,[1]Table_S4_Clint_Data_Summary!$B$2:$B$55,0),8)</f>
        <v>0.33810000000000001</v>
      </c>
      <c r="E27">
        <f>INDEX([2]!Table1[[DTXSID]:[degrades.pValue]],MATCH($A27,[2]!Table1[DTXSID],0),3)</f>
        <v>0</v>
      </c>
      <c r="F27">
        <f>INDEX([2]!Table1[[DTXSID]:[degrades.pValue]],MATCH($A27,[2]!Table1[DTXSID],0),9)</f>
        <v>0.95</v>
      </c>
      <c r="G27">
        <f>INDEX([2]!Table1[[DTXSID]:[degrades.pValue]],MATCH($A27,[2]!Table1[DTXSID],0),11)</f>
        <v>0.95199999999999996</v>
      </c>
      <c r="H27" t="str">
        <f>IF(OR(AND(Table1[[#This Row],[ManualClintpValue]]&lt;0.05,Table1[[#This Row],[BayesClintpValue]]&lt;0.05),AND(Table1[[#This Row],[ManualClintpValue]]&gt;0.05,Table1[[#This Row],[BayesClintpValue]]&gt;0.5)),"Y","N")</f>
        <v>Y</v>
      </c>
    </row>
    <row r="28" spans="1:8" ht="26" x14ac:dyDescent="0.35">
      <c r="A28" s="2" t="s">
        <v>39</v>
      </c>
      <c r="B28" t="str">
        <f>INDEX([1]Table_S4_Clint_Data_Summary!$A$2:$I$55,MATCH(A28,[1]Table_S4_Clint_Data_Summary!$B$2:$B$55,0),1)</f>
        <v>Perfluoroundecanoic acid</v>
      </c>
      <c r="C28">
        <f>INDEX([1]Table_S4_Clint_Data_Summary!$A$2:$I$55,MATCH($A28,[1]Table_S4_Clint_Data_Summary!$B$2:$B$55,0),7)</f>
        <v>0</v>
      </c>
      <c r="D28">
        <f>INDEX([1]Table_S4_Clint_Data_Summary!$A$2:$I$55,MATCH($A28,[1]Table_S4_Clint_Data_Summary!$B$2:$B$55,0),8)</f>
        <v>0.55379999999999996</v>
      </c>
      <c r="E28">
        <f>INDEX([2]!Table1[[DTXSID]:[degrades.pValue]],MATCH($A28,[2]!Table1[DTXSID],0),3)</f>
        <v>0</v>
      </c>
      <c r="F28">
        <f>INDEX([2]!Table1[[DTXSID]:[degrades.pValue]],MATCH($A28,[2]!Table1[DTXSID],0),9)</f>
        <v>0.95</v>
      </c>
      <c r="G28">
        <f>INDEX([2]!Table1[[DTXSID]:[degrades.pValue]],MATCH($A28,[2]!Table1[DTXSID],0),11)</f>
        <v>0.95</v>
      </c>
      <c r="H28" t="str">
        <f>IF(OR(AND(Table1[[#This Row],[ManualClintpValue]]&lt;0.05,Table1[[#This Row],[BayesClintpValue]]&lt;0.05),AND(Table1[[#This Row],[ManualClintpValue]]&gt;0.05,Table1[[#This Row],[BayesClintpValue]]&gt;0.5)),"Y","N")</f>
        <v>Y</v>
      </c>
    </row>
    <row r="29" spans="1:8" ht="26" x14ac:dyDescent="0.35">
      <c r="A29" s="2" t="s">
        <v>44</v>
      </c>
      <c r="B29" t="str">
        <f>INDEX([1]Table_S4_Clint_Data_Summary!$A$2:$I$55,MATCH(A29,[1]Table_S4_Clint_Data_Summary!$B$2:$B$55,0),1)</f>
        <v>8H-Perfluorooctanoic acid</v>
      </c>
      <c r="C29">
        <f>INDEX([1]Table_S4_Clint_Data_Summary!$A$2:$I$55,MATCH($A29,[1]Table_S4_Clint_Data_Summary!$B$2:$B$55,0),7)</f>
        <v>0</v>
      </c>
      <c r="D29" t="str">
        <f>INDEX([1]Table_S4_Clint_Data_Summary!$A$2:$I$55,MATCH($A29,[1]Table_S4_Clint_Data_Summary!$B$2:$B$55,0),8)</f>
        <v>NS</v>
      </c>
      <c r="E29">
        <f>INDEX([2]!Table1[[DTXSID]:[degrades.pValue]],MATCH($A29,[2]!Table1[DTXSID],0),3)</f>
        <v>0</v>
      </c>
      <c r="F29">
        <f>INDEX([2]!Table1[[DTXSID]:[degrades.pValue]],MATCH($A29,[2]!Table1[DTXSID],0),9)</f>
        <v>0.95</v>
      </c>
      <c r="G29">
        <f>INDEX([2]!Table1[[DTXSID]:[degrades.pValue]],MATCH($A29,[2]!Table1[DTXSID],0),11)</f>
        <v>0.94799999999999995</v>
      </c>
      <c r="H29" t="str">
        <f>IF(OR(AND(Table1[[#This Row],[ManualClintpValue]]&lt;0.05,Table1[[#This Row],[BayesClintpValue]]&lt;0.05),AND(Table1[[#This Row],[ManualClintpValue]]&gt;0.05,Table1[[#This Row],[BayesClintpValue]]&gt;0.5)),"Y","N")</f>
        <v>Y</v>
      </c>
    </row>
    <row r="30" spans="1:8" ht="26" x14ac:dyDescent="0.35">
      <c r="A30" s="2" t="s">
        <v>47</v>
      </c>
      <c r="B30" t="str">
        <f>INDEX([1]Table_S4_Clint_Data_Summary!$A$2:$I$55,MATCH(A30,[1]Table_S4_Clint_Data_Summary!$B$2:$B$55,0),1)</f>
        <v>Pentadecafluorooctanoyl chloride</v>
      </c>
      <c r="C30">
        <f>INDEX([1]Table_S4_Clint_Data_Summary!$A$2:$I$55,MATCH($A30,[1]Table_S4_Clint_Data_Summary!$B$2:$B$55,0),7)</f>
        <v>0</v>
      </c>
      <c r="D30" t="str">
        <f>INDEX([1]Table_S4_Clint_Data_Summary!$A$2:$I$55,MATCH($A30,[1]Table_S4_Clint_Data_Summary!$B$2:$B$55,0),8)</f>
        <v>NS</v>
      </c>
      <c r="E30">
        <f>INDEX([2]!Table1[[DTXSID]:[degrades.pValue]],MATCH($A30,[2]!Table1[DTXSID],0),3)</f>
        <v>0</v>
      </c>
      <c r="F30">
        <f>INDEX([2]!Table1[[DTXSID]:[degrades.pValue]],MATCH($A30,[2]!Table1[DTXSID],0),9)</f>
        <v>0.95</v>
      </c>
      <c r="G30">
        <f>INDEX([2]!Table1[[DTXSID]:[degrades.pValue]],MATCH($A30,[2]!Table1[DTXSID],0),11)</f>
        <v>0.95</v>
      </c>
      <c r="H30" t="str">
        <f>IF(OR(AND(Table1[[#This Row],[ManualClintpValue]]&lt;0.05,Table1[[#This Row],[BayesClintpValue]]&lt;0.05),AND(Table1[[#This Row],[ManualClintpValue]]&gt;0.05,Table1[[#This Row],[BayesClintpValue]]&gt;0.5)),"Y","N")</f>
        <v>Y</v>
      </c>
    </row>
    <row r="31" spans="1:8" x14ac:dyDescent="0.35">
      <c r="A31" s="4" t="s">
        <v>49</v>
      </c>
      <c r="B31" t="str">
        <f>INDEX([1]Table_S4_Clint_Data_Summary!$A$2:$I$55,MATCH(A31,[1]Table_S4_Clint_Data_Summary!$B$2:$B$55,0),1)</f>
        <v>Perfluoro-3,6,9-trioxadecanoic acid (PFPE-4)</v>
      </c>
      <c r="C31">
        <f>INDEX([1]Table_S4_Clint_Data_Summary!$A$2:$I$55,MATCH($A31,[1]Table_S4_Clint_Data_Summary!$B$2:$B$55,0),7)</f>
        <v>0</v>
      </c>
      <c r="D31" t="str">
        <f>INDEX([1]Table_S4_Clint_Data_Summary!$A$2:$I$55,MATCH($A31,[1]Table_S4_Clint_Data_Summary!$B$2:$B$55,0),8)</f>
        <v>NS</v>
      </c>
      <c r="E31">
        <f>INDEX([2]!Table1[[DTXSID]:[degrades.pValue]],MATCH($A31,[2]!Table1[DTXSID],0),3)</f>
        <v>0</v>
      </c>
      <c r="F31">
        <f>INDEX([2]!Table1[[DTXSID]:[degrades.pValue]],MATCH($A31,[2]!Table1[DTXSID],0),9)</f>
        <v>0.95</v>
      </c>
      <c r="G31">
        <f>INDEX([2]!Table1[[DTXSID]:[degrades.pValue]],MATCH($A31,[2]!Table1[DTXSID],0),11)</f>
        <v>0.95099999999999996</v>
      </c>
      <c r="H31" t="str">
        <f>IF(OR(AND(Table1[[#This Row],[ManualClintpValue]]&lt;0.05,Table1[[#This Row],[BayesClintpValue]]&lt;0.05),AND(Table1[[#This Row],[ManualClintpValue]]&gt;0.05,Table1[[#This Row],[BayesClintpValue]]&gt;0.5)),"Y","N")</f>
        <v>Y</v>
      </c>
    </row>
    <row r="32" spans="1:8" ht="26" x14ac:dyDescent="0.35">
      <c r="A32" s="2" t="s">
        <v>30</v>
      </c>
      <c r="B32" t="str">
        <f>INDEX([1]Table_S4_Clint_Data_Summary!$A$2:$I$55,MATCH(A32,[1]Table_S4_Clint_Data_Summary!$B$2:$B$55,0),1)</f>
        <v>9-H-Perfluorononanoic acid</v>
      </c>
      <c r="C32">
        <f>INDEX([1]Table_S4_Clint_Data_Summary!$A$2:$I$55,MATCH($A32,[1]Table_S4_Clint_Data_Summary!$B$2:$B$55,0),7)</f>
        <v>0</v>
      </c>
      <c r="D32">
        <f>INDEX([1]Table_S4_Clint_Data_Summary!$A$2:$I$55,MATCH($A32,[1]Table_S4_Clint_Data_Summary!$B$2:$B$55,0),8)</f>
        <v>0.26119999999999999</v>
      </c>
      <c r="E32">
        <f>INDEX([2]!Table1[[DTXSID]:[degrades.pValue]],MATCH($A32,[2]!Table1[DTXSID],0),3)</f>
        <v>0</v>
      </c>
      <c r="F32">
        <f>INDEX([2]!Table1[[DTXSID]:[degrades.pValue]],MATCH($A32,[2]!Table1[DTXSID],0),9)</f>
        <v>0.95099999999999996</v>
      </c>
      <c r="G32">
        <f>INDEX([2]!Table1[[DTXSID]:[degrades.pValue]],MATCH($A32,[2]!Table1[DTXSID],0),11)</f>
        <v>0.95</v>
      </c>
      <c r="H32" t="str">
        <f>IF(OR(AND(Table1[[#This Row],[ManualClintpValue]]&lt;0.05,Table1[[#This Row],[BayesClintpValue]]&lt;0.05),AND(Table1[[#This Row],[ManualClintpValue]]&gt;0.05,Table1[[#This Row],[BayesClintpValue]]&gt;0.5)),"Y","N")</f>
        <v>Y</v>
      </c>
    </row>
    <row r="33" spans="1:8" ht="26" x14ac:dyDescent="0.35">
      <c r="A33" s="2" t="s">
        <v>26</v>
      </c>
      <c r="B33" t="str">
        <f>INDEX([1]Table_S4_Clint_Data_Summary!$A$2:$I$55,MATCH(A33,[1]Table_S4_Clint_Data_Summary!$B$2:$B$55,0),1)</f>
        <v>Perfluorooctanesulfonic acid</v>
      </c>
      <c r="C33">
        <f>INDEX([1]Table_S4_Clint_Data_Summary!$A$2:$I$55,MATCH($A33,[1]Table_S4_Clint_Data_Summary!$B$2:$B$55,0),7)</f>
        <v>1.38</v>
      </c>
      <c r="D33">
        <f>INDEX([1]Table_S4_Clint_Data_Summary!$A$2:$I$55,MATCH($A33,[1]Table_S4_Clint_Data_Summary!$B$2:$B$55,0),8)</f>
        <v>0.2014</v>
      </c>
      <c r="E33">
        <f>INDEX([2]!Table1[[DTXSID]:[degrades.pValue]],MATCH($A33,[2]!Table1[DTXSID],0),3)</f>
        <v>0</v>
      </c>
      <c r="F33">
        <f>INDEX([2]!Table1[[DTXSID]:[degrades.pValue]],MATCH($A33,[2]!Table1[DTXSID],0),9)</f>
        <v>0.96099999999999997</v>
      </c>
      <c r="G33">
        <f>INDEX([2]!Table1[[DTXSID]:[degrades.pValue]],MATCH($A33,[2]!Table1[DTXSID],0),11)</f>
        <v>0</v>
      </c>
      <c r="H33" t="str">
        <f>IF(OR(AND(Table1[[#This Row],[ManualClintpValue]]&lt;0.05,Table1[[#This Row],[BayesClintpValue]]&lt;0.05),AND(Table1[[#This Row],[ManualClintpValue]]&gt;0.05,Table1[[#This Row],[BayesClintpValue]]&gt;0.5)),"Y","N")</f>
        <v>Y</v>
      </c>
    </row>
    <row r="34" spans="1:8" ht="26" x14ac:dyDescent="0.35">
      <c r="A34" s="2" t="s">
        <v>42</v>
      </c>
      <c r="B34" t="str">
        <f>INDEX([1]Table_S4_Clint_Data_Summary!$A$2:$I$55,MATCH(A34,[1]Table_S4_Clint_Data_Summary!$B$2:$B$55,0),1)</f>
        <v>Perfluorobutanoic acid</v>
      </c>
      <c r="C34">
        <f>INDEX([1]Table_S4_Clint_Data_Summary!$A$2:$I$55,MATCH($A34,[1]Table_S4_Clint_Data_Summary!$B$2:$B$55,0),7)</f>
        <v>0.08</v>
      </c>
      <c r="D34">
        <f>INDEX([1]Table_S4_Clint_Data_Summary!$A$2:$I$55,MATCH($A34,[1]Table_S4_Clint_Data_Summary!$B$2:$B$55,0),8)</f>
        <v>0.91290000000000004</v>
      </c>
      <c r="E34">
        <f>INDEX([2]!Table1[[DTXSID]:[degrades.pValue]],MATCH($A34,[2]!Table1[DTXSID],0),3)</f>
        <v>0</v>
      </c>
      <c r="F34">
        <f>INDEX([2]!Table1[[DTXSID]:[degrades.pValue]],MATCH($A34,[2]!Table1[DTXSID],0),9)</f>
        <v>0.97499999999999998</v>
      </c>
      <c r="G34">
        <f>INDEX([2]!Table1[[DTXSID]:[degrades.pValue]],MATCH($A34,[2]!Table1[DTXSID],0),11)</f>
        <v>2.3099999999999999E-2</v>
      </c>
      <c r="H34" t="str">
        <f>IF(OR(AND(Table1[[#This Row],[ManualClintpValue]]&lt;0.05,Table1[[#This Row],[BayesClintpValue]]&lt;0.05),AND(Table1[[#This Row],[ManualClintpValue]]&gt;0.05,Table1[[#This Row],[BayesClintpValue]]&gt;0.5)),"Y","N")</f>
        <v>Y</v>
      </c>
    </row>
    <row r="35" spans="1:8" ht="26" x14ac:dyDescent="0.35">
      <c r="A35" s="2" t="s">
        <v>45</v>
      </c>
      <c r="B35" t="str">
        <f>INDEX([1]Table_S4_Clint_Data_Summary!$A$2:$I$55,MATCH(A35,[1]Table_S4_Clint_Data_Summary!$B$2:$B$55,0),1)</f>
        <v>3:3 Fluorotelomer carboxylic acid</v>
      </c>
      <c r="C35">
        <f>INDEX([1]Table_S4_Clint_Data_Summary!$A$2:$I$55,MATCH($A35,[1]Table_S4_Clint_Data_Summary!$B$2:$B$55,0),7)</f>
        <v>0</v>
      </c>
      <c r="D35" t="str">
        <f>INDEX([1]Table_S4_Clint_Data_Summary!$A$2:$I$55,MATCH($A35,[1]Table_S4_Clint_Data_Summary!$B$2:$B$55,0),8)</f>
        <v>NS</v>
      </c>
      <c r="E35">
        <f>INDEX([2]!Table1[[DTXSID]:[degrades.pValue]],MATCH($A35,[2]!Table1[DTXSID],0),3)</f>
        <v>0</v>
      </c>
      <c r="F35">
        <f>INDEX([2]!Table1[[DTXSID]:[degrades.pValue]],MATCH($A35,[2]!Table1[DTXSID],0),9)</f>
        <v>0.97899999999999998</v>
      </c>
      <c r="G35">
        <f>INDEX([2]!Table1[[DTXSID]:[degrades.pValue]],MATCH($A35,[2]!Table1[DTXSID],0),11)</f>
        <v>0.92300000000000004</v>
      </c>
      <c r="H35" t="str">
        <f>IF(OR(AND(Table1[[#This Row],[ManualClintpValue]]&lt;0.05,Table1[[#This Row],[BayesClintpValue]]&lt;0.05),AND(Table1[[#This Row],[ManualClintpValue]]&gt;0.05,Table1[[#This Row],[BayesClintpValue]]&gt;0.5)),"Y","N")</f>
        <v>Y</v>
      </c>
    </row>
    <row r="36" spans="1:8" x14ac:dyDescent="0.35">
      <c r="A36" s="4" t="s">
        <v>29</v>
      </c>
      <c r="B36" t="str">
        <f>INDEX([1]Table_S4_Clint_Data_Summary!$A$2:$I$55,MATCH(A36,[1]Table_S4_Clint_Data_Summary!$B$2:$B$55,0),1)</f>
        <v>Perfluorooctanesulfonate</v>
      </c>
      <c r="C36">
        <f>INDEX([1]Table_S4_Clint_Data_Summary!$A$2:$I$55,MATCH($A36,[1]Table_S4_Clint_Data_Summary!$B$2:$B$55,0),7)</f>
        <v>0</v>
      </c>
      <c r="D36">
        <f>INDEX([1]Table_S4_Clint_Data_Summary!$A$2:$I$55,MATCH($A36,[1]Table_S4_Clint_Data_Summary!$B$2:$B$55,0),8)</f>
        <v>0.25700000000000001</v>
      </c>
      <c r="E36">
        <f>INDEX([2]!Table1[[DTXSID]:[degrades.pValue]],MATCH($A36,[2]!Table1[DTXSID],0),3)</f>
        <v>0</v>
      </c>
      <c r="F36">
        <f>INDEX([2]!Table1[[DTXSID]:[degrades.pValue]],MATCH($A36,[2]!Table1[DTXSID],0),9)</f>
        <v>0.98</v>
      </c>
      <c r="G36">
        <f>INDEX([2]!Table1[[DTXSID]:[degrades.pValue]],MATCH($A36,[2]!Table1[DTXSID],0),11)</f>
        <v>1.9900000000000001E-2</v>
      </c>
      <c r="H36" t="str">
        <f>IF(OR(AND(Table1[[#This Row],[ManualClintpValue]]&lt;0.05,Table1[[#This Row],[BayesClintpValue]]&lt;0.05),AND(Table1[[#This Row],[ManualClintpValue]]&gt;0.05,Table1[[#This Row],[BayesClintpValue]]&gt;0.5)),"Y","N")</f>
        <v>Y</v>
      </c>
    </row>
    <row r="37" spans="1:8" ht="26" x14ac:dyDescent="0.35">
      <c r="A37" s="2" t="s">
        <v>25</v>
      </c>
      <c r="B37" t="str">
        <f>INDEX([1]Table_S4_Clint_Data_Summary!$A$2:$I$55,MATCH(A37,[1]Table_S4_Clint_Data_Summary!$B$2:$B$55,0),1)</f>
        <v>Perfluoropropanoic acid</v>
      </c>
      <c r="C37">
        <f>INDEX([1]Table_S4_Clint_Data_Summary!$A$2:$I$55,MATCH($A37,[1]Table_S4_Clint_Data_Summary!$B$2:$B$55,0),7)</f>
        <v>0.59</v>
      </c>
      <c r="D37">
        <f>INDEX([1]Table_S4_Clint_Data_Summary!$A$2:$I$55,MATCH($A37,[1]Table_S4_Clint_Data_Summary!$B$2:$B$55,0),8)</f>
        <v>0.1434</v>
      </c>
      <c r="E37">
        <f>INDEX([2]!Table1[[DTXSID]:[degrades.pValue]],MATCH($A37,[2]!Table1[DTXSID],0),3)</f>
        <v>0</v>
      </c>
      <c r="F37">
        <f>INDEX([2]!Table1[[DTXSID]:[degrades.pValue]],MATCH($A37,[2]!Table1[DTXSID],0),9)</f>
        <v>0.98799999999999999</v>
      </c>
      <c r="G37">
        <f>INDEX([2]!Table1[[DTXSID]:[degrades.pValue]],MATCH($A37,[2]!Table1[DTXSID],0),11)</f>
        <v>6.62E-3</v>
      </c>
      <c r="H37" t="str">
        <f>IF(OR(AND(Table1[[#This Row],[ManualClintpValue]]&lt;0.05,Table1[[#This Row],[BayesClintpValue]]&lt;0.05),AND(Table1[[#This Row],[ManualClintpValue]]&gt;0.05,Table1[[#This Row],[BayesClintpValue]]&gt;0.5)),"Y","N")</f>
        <v>Y</v>
      </c>
    </row>
    <row r="38" spans="1:8" ht="26" x14ac:dyDescent="0.35">
      <c r="A38" s="2" t="s">
        <v>51</v>
      </c>
      <c r="B38" t="str">
        <f>INDEX([1]Table_S4_Clint_Data_Summary!$A$2:$I$55,MATCH(A38,[1]Table_S4_Clint_Data_Summary!$B$2:$B$55,0),1)</f>
        <v>Perfluorohexanesulfonamide</v>
      </c>
      <c r="C38">
        <f>INDEX([1]Table_S4_Clint_Data_Summary!$A$2:$I$55,MATCH($A38,[1]Table_S4_Clint_Data_Summary!$B$2:$B$55,0),7)</f>
        <v>0</v>
      </c>
      <c r="D38" t="str">
        <f>INDEX([1]Table_S4_Clint_Data_Summary!$A$2:$I$55,MATCH($A38,[1]Table_S4_Clint_Data_Summary!$B$2:$B$55,0),8)</f>
        <v>NS</v>
      </c>
      <c r="E38">
        <f>INDEX([2]!Table1[[DTXSID]:[degrades.pValue]],MATCH($A38,[2]!Table1[DTXSID],0),3)</f>
        <v>0</v>
      </c>
      <c r="F38">
        <f>INDEX([2]!Table1[[DTXSID]:[degrades.pValue]],MATCH($A38,[2]!Table1[DTXSID],0),9)</f>
        <v>0.99</v>
      </c>
      <c r="G38">
        <f>INDEX([2]!Table1[[DTXSID]:[degrades.pValue]],MATCH($A38,[2]!Table1[DTXSID],0),11)</f>
        <v>0</v>
      </c>
      <c r="H38" t="str">
        <f>IF(OR(AND(Table1[[#This Row],[ManualClintpValue]]&lt;0.05,Table1[[#This Row],[BayesClintpValue]]&lt;0.05),AND(Table1[[#This Row],[ManualClintpValue]]&gt;0.05,Table1[[#This Row],[BayesClintpValue]]&gt;0.5)),"Y","N")</f>
        <v>Y</v>
      </c>
    </row>
    <row r="39" spans="1:8" ht="26" x14ac:dyDescent="0.35">
      <c r="A39" s="2" t="s">
        <v>20</v>
      </c>
      <c r="B39" t="str">
        <f>INDEX([1]Table_S4_Clint_Data_Summary!$A$2:$I$55,MATCH(A39,[1]Table_S4_Clint_Data_Summary!$B$2:$B$55,0),1)</f>
        <v>3-(Perfluoroisopropyl)-2-propenoic acid</v>
      </c>
      <c r="C39">
        <f>INDEX([1]Table_S4_Clint_Data_Summary!$A$2:$I$55,MATCH($A39,[1]Table_S4_Clint_Data_Summary!$B$2:$B$55,0),7)</f>
        <v>1.23</v>
      </c>
      <c r="D39">
        <f>INDEX([1]Table_S4_Clint_Data_Summary!$A$2:$I$55,MATCH($A39,[1]Table_S4_Clint_Data_Summary!$B$2:$B$55,0),8)</f>
        <v>7.9600000000000004E-2</v>
      </c>
      <c r="E39">
        <f>INDEX([2]!Table1[[DTXSID]:[degrades.pValue]],MATCH($A39,[2]!Table1[DTXSID],0),3)</f>
        <v>0</v>
      </c>
      <c r="F39">
        <f>INDEX([2]!Table1[[DTXSID]:[degrades.pValue]],MATCH($A39,[2]!Table1[DTXSID],0),9)</f>
        <v>0.99199999999999999</v>
      </c>
      <c r="G39">
        <f>INDEX([2]!Table1[[DTXSID]:[degrades.pValue]],MATCH($A39,[2]!Table1[DTXSID],0),11)</f>
        <v>5.2199999999999998E-3</v>
      </c>
      <c r="H39" t="str">
        <f>IF(OR(AND(Table1[[#This Row],[ManualClintpValue]]&lt;0.05,Table1[[#This Row],[BayesClintpValue]]&lt;0.05),AND(Table1[[#This Row],[ManualClintpValue]]&gt;0.05,Table1[[#This Row],[BayesClintpValue]]&gt;0.5)),"Y","N")</f>
        <v>Y</v>
      </c>
    </row>
    <row r="40" spans="1:8" ht="26" x14ac:dyDescent="0.35">
      <c r="A40" s="2" t="s">
        <v>43</v>
      </c>
      <c r="B40" t="str">
        <f>INDEX([1]Table_S4_Clint_Data_Summary!$A$2:$I$55,MATCH(A40,[1]Table_S4_Clint_Data_Summary!$B$2:$B$55,0),1)</f>
        <v>Perfluorotridecanoic acid</v>
      </c>
      <c r="C40">
        <f>INDEX([1]Table_S4_Clint_Data_Summary!$A$2:$I$55,MATCH($A40,[1]Table_S4_Clint_Data_Summary!$B$2:$B$55,0),7)</f>
        <v>0</v>
      </c>
      <c r="D40">
        <f>INDEX([1]Table_S4_Clint_Data_Summary!$A$2:$I$55,MATCH($A40,[1]Table_S4_Clint_Data_Summary!$B$2:$B$55,0),8)</f>
        <v>0.9617</v>
      </c>
      <c r="E40">
        <f>INDEX([2]!Table1[[DTXSID]:[degrades.pValue]],MATCH($A40,[2]!Table1[DTXSID],0),3)</f>
        <v>0</v>
      </c>
      <c r="F40">
        <f>INDEX([2]!Table1[[DTXSID]:[degrades.pValue]],MATCH($A40,[2]!Table1[DTXSID],0),9)</f>
        <v>0.99199999999999999</v>
      </c>
      <c r="G40">
        <f>INDEX([2]!Table1[[DTXSID]:[degrades.pValue]],MATCH($A40,[2]!Table1[DTXSID],0),11)</f>
        <v>0</v>
      </c>
      <c r="H40" t="str">
        <f>IF(OR(AND(Table1[[#This Row],[ManualClintpValue]]&lt;0.05,Table1[[#This Row],[BayesClintpValue]]&lt;0.05),AND(Table1[[#This Row],[ManualClintpValue]]&gt;0.05,Table1[[#This Row],[BayesClintpValue]]&gt;0.5)),"Y","N")</f>
        <v>Y</v>
      </c>
    </row>
    <row r="41" spans="1:8" ht="26" x14ac:dyDescent="0.35">
      <c r="A41" s="2" t="s">
        <v>36</v>
      </c>
      <c r="B41" t="str">
        <f>INDEX([1]Table_S4_Clint_Data_Summary!$A$2:$I$55,MATCH(A41,[1]Table_S4_Clint_Data_Summary!$B$2:$B$55,0),1)</f>
        <v>Perfluorooctanesulfonamido ammonium iodide</v>
      </c>
      <c r="C41">
        <f>INDEX([1]Table_S4_Clint_Data_Summary!$A$2:$I$55,MATCH($A41,[1]Table_S4_Clint_Data_Summary!$B$2:$B$55,0),7)</f>
        <v>4.28</v>
      </c>
      <c r="D41">
        <f>INDEX([1]Table_S4_Clint_Data_Summary!$A$2:$I$55,MATCH($A41,[1]Table_S4_Clint_Data_Summary!$B$2:$B$55,0),8)</f>
        <v>0.41670000000000001</v>
      </c>
      <c r="E41">
        <f>INDEX([2]!Table1[[DTXSID]:[degrades.pValue]],MATCH($A41,[2]!Table1[DTXSID],0),3)</f>
        <v>0</v>
      </c>
      <c r="F41">
        <f>INDEX([2]!Table1[[DTXSID]:[degrades.pValue]],MATCH($A41,[2]!Table1[DTXSID],0),9)</f>
        <v>0.99399999999999999</v>
      </c>
      <c r="G41">
        <f>INDEX([2]!Table1[[DTXSID]:[degrades.pValue]],MATCH($A41,[2]!Table1[DTXSID],0),11)</f>
        <v>0</v>
      </c>
      <c r="H41" t="str">
        <f>IF(OR(AND(Table1[[#This Row],[ManualClintpValue]]&lt;0.05,Table1[[#This Row],[BayesClintpValue]]&lt;0.05),AND(Table1[[#This Row],[ManualClintpValue]]&gt;0.05,Table1[[#This Row],[BayesClintpValue]]&gt;0.5)),"Y","N")</f>
        <v>Y</v>
      </c>
    </row>
    <row r="42" spans="1:8" ht="26" x14ac:dyDescent="0.35">
      <c r="A42" s="2" t="s">
        <v>31</v>
      </c>
      <c r="B42" t="str">
        <f>INDEX([1]Table_S4_Clint_Data_Summary!$A$2:$I$55,MATCH(A42,[1]Table_S4_Clint_Data_Summary!$B$2:$B$55,0),1)</f>
        <v>4H-Perfluorobutanoic acid</v>
      </c>
      <c r="C42">
        <f>INDEX([1]Table_S4_Clint_Data_Summary!$A$2:$I$55,MATCH($A42,[1]Table_S4_Clint_Data_Summary!$B$2:$B$55,0),7)</f>
        <v>0.9</v>
      </c>
      <c r="D42">
        <f>INDEX([1]Table_S4_Clint_Data_Summary!$A$2:$I$55,MATCH($A42,[1]Table_S4_Clint_Data_Summary!$B$2:$B$55,0),8)</f>
        <v>0.28860000000000002</v>
      </c>
      <c r="E42">
        <f>INDEX([2]!Table1[[DTXSID]:[degrades.pValue]],MATCH($A42,[2]!Table1[DTXSID],0),3)</f>
        <v>0</v>
      </c>
      <c r="F42">
        <f>INDEX([2]!Table1[[DTXSID]:[degrades.pValue]],MATCH($A42,[2]!Table1[DTXSID],0),9)</f>
        <v>0.997</v>
      </c>
      <c r="G42">
        <f>INDEX([2]!Table1[[DTXSID]:[degrades.pValue]],MATCH($A42,[2]!Table1[DTXSID],0),11)</f>
        <v>0</v>
      </c>
      <c r="H42" t="str">
        <f>IF(OR(AND(Table1[[#This Row],[ManualClintpValue]]&lt;0.05,Table1[[#This Row],[BayesClintpValue]]&lt;0.05),AND(Table1[[#This Row],[ManualClintpValue]]&gt;0.05,Table1[[#This Row],[BayesClintpValue]]&gt;0.5)),"Y","N")</f>
        <v>Y</v>
      </c>
    </row>
    <row r="43" spans="1:8" x14ac:dyDescent="0.35">
      <c r="A43" s="4" t="s">
        <v>28</v>
      </c>
      <c r="B43" t="str">
        <f>INDEX([1]Table_S4_Clint_Data_Summary!$A$2:$I$55,MATCH(A43,[1]Table_S4_Clint_Data_Summary!$B$2:$B$55,0),1)</f>
        <v>Potassium perfluorooctanoate</v>
      </c>
      <c r="C43">
        <f>INDEX([1]Table_S4_Clint_Data_Summary!$A$2:$I$55,MATCH($A43,[1]Table_S4_Clint_Data_Summary!$B$2:$B$55,0),7)</f>
        <v>0</v>
      </c>
      <c r="D43">
        <f>INDEX([1]Table_S4_Clint_Data_Summary!$A$2:$I$55,MATCH($A43,[1]Table_S4_Clint_Data_Summary!$B$2:$B$55,0),8)</f>
        <v>0.2505</v>
      </c>
      <c r="E43">
        <f>INDEX([2]!Table1[[DTXSID]:[degrades.pValue]],MATCH($A43,[2]!Table1[DTXSID],0),3)</f>
        <v>0</v>
      </c>
      <c r="F43">
        <f>INDEX([2]!Table1[[DTXSID]:[degrades.pValue]],MATCH($A43,[2]!Table1[DTXSID],0),9)</f>
        <v>0.95099999999999996</v>
      </c>
      <c r="G43">
        <f>INDEX([2]!Table1[[DTXSID]:[degrades.pValue]],MATCH($A43,[2]!Table1[DTXSID],0),11)</f>
        <v>0.95099999999999996</v>
      </c>
      <c r="H43" t="str">
        <f>IF(OR(AND(Table1[[#This Row],[ManualClintpValue]]&lt;0.05,Table1[[#This Row],[BayesClintpValue]]&lt;0.05),AND(Table1[[#This Row],[ManualClintpValue]]&gt;0.05,Table1[[#This Row],[BayesClintpValue]]&gt;0.5)),"Y","N")</f>
        <v>Y</v>
      </c>
    </row>
    <row r="44" spans="1:8" ht="26" x14ac:dyDescent="0.35">
      <c r="A44" s="2" t="s">
        <v>21</v>
      </c>
      <c r="B44" t="str">
        <f>INDEX([1]Table_S4_Clint_Data_Summary!$A$2:$I$55,MATCH(A44,[1]Table_S4_Clint_Data_Summary!$B$2:$B$55,0),1)</f>
        <v>Perfluoropentanoic acid</v>
      </c>
      <c r="C44">
        <f>INDEX([1]Table_S4_Clint_Data_Summary!$A$2:$I$55,MATCH($A44,[1]Table_S4_Clint_Data_Summary!$B$2:$B$55,0),7)</f>
        <v>2.13</v>
      </c>
      <c r="D44">
        <f>INDEX([1]Table_S4_Clint_Data_Summary!$A$2:$I$55,MATCH($A44,[1]Table_S4_Clint_Data_Summary!$B$2:$B$55,0),8)</f>
        <v>8.1199999999999994E-2</v>
      </c>
      <c r="E44">
        <f>INDEX([2]!Table1[[DTXSID]:[degrades.pValue]],MATCH($A44,[2]!Table1[DTXSID],0),3)</f>
        <v>0</v>
      </c>
      <c r="F44">
        <f>INDEX([2]!Table1[[DTXSID]:[degrades.pValue]],MATCH($A44,[2]!Table1[DTXSID],0),9)</f>
        <v>0.999</v>
      </c>
      <c r="G44">
        <f>INDEX([2]!Table1[[DTXSID]:[degrades.pValue]],MATCH($A44,[2]!Table1[DTXSID],0),11)</f>
        <v>0</v>
      </c>
      <c r="H44" t="str">
        <f>IF(OR(AND(Table1[[#This Row],[ManualClintpValue]]&lt;0.05,Table1[[#This Row],[BayesClintpValue]]&lt;0.05),AND(Table1[[#This Row],[ManualClintpValue]]&gt;0.05,Table1[[#This Row],[BayesClintpValue]]&gt;0.5)),"Y","N")</f>
        <v>Y</v>
      </c>
    </row>
    <row r="45" spans="1:8" ht="26" x14ac:dyDescent="0.35">
      <c r="A45" s="2" t="s">
        <v>22</v>
      </c>
      <c r="B45" t="str">
        <f>INDEX([1]Table_S4_Clint_Data_Summary!$A$2:$I$55,MATCH(A45,[1]Table_S4_Clint_Data_Summary!$B$2:$B$55,0),1)</f>
        <v>2,2,2-Trifluoroethyl perfluorobutanesulfonate</v>
      </c>
      <c r="C45">
        <f>INDEX([1]Table_S4_Clint_Data_Summary!$A$2:$I$55,MATCH($A45,[1]Table_S4_Clint_Data_Summary!$B$2:$B$55,0),7)</f>
        <v>2.84</v>
      </c>
      <c r="D45">
        <f>INDEX([1]Table_S4_Clint_Data_Summary!$A$2:$I$55,MATCH($A45,[1]Table_S4_Clint_Data_Summary!$B$2:$B$55,0),8)</f>
        <v>8.3400000000000002E-2</v>
      </c>
      <c r="E45">
        <f>INDEX([2]!Table1[[DTXSID]:[degrades.pValue]],MATCH($A45,[2]!Table1[DTXSID],0),3)</f>
        <v>0</v>
      </c>
      <c r="F45">
        <f>INDEX([2]!Table1[[DTXSID]:[degrades.pValue]],MATCH($A45,[2]!Table1[DTXSID],0),9)</f>
        <v>0.999</v>
      </c>
      <c r="G45">
        <f>INDEX([2]!Table1[[DTXSID]:[degrades.pValue]],MATCH($A45,[2]!Table1[DTXSID],0),11)</f>
        <v>0</v>
      </c>
      <c r="H45" t="str">
        <f>IF(OR(AND(Table1[[#This Row],[ManualClintpValue]]&lt;0.05,Table1[[#This Row],[BayesClintpValue]]&lt;0.05),AND(Table1[[#This Row],[ManualClintpValue]]&gt;0.05,Table1[[#This Row],[BayesClintpValue]]&gt;0.5)),"Y","N")</f>
        <v>Y</v>
      </c>
    </row>
    <row r="46" spans="1:8" ht="26" x14ac:dyDescent="0.35">
      <c r="A46" s="2" t="s">
        <v>27</v>
      </c>
      <c r="B46" t="str">
        <f>INDEX([1]Table_S4_Clint_Data_Summary!$A$2:$I$55,MATCH(A46,[1]Table_S4_Clint_Data_Summary!$B$2:$B$55,0),1)</f>
        <v>Perfluoroheptanesulfonic acid</v>
      </c>
      <c r="C46">
        <f>INDEX([1]Table_S4_Clint_Data_Summary!$A$2:$I$55,MATCH($A46,[1]Table_S4_Clint_Data_Summary!$B$2:$B$55,0),7)</f>
        <v>1.23</v>
      </c>
      <c r="D46">
        <f>INDEX([1]Table_S4_Clint_Data_Summary!$A$2:$I$55,MATCH($A46,[1]Table_S4_Clint_Data_Summary!$B$2:$B$55,0),8)</f>
        <v>0.23</v>
      </c>
      <c r="E46">
        <f>INDEX([2]!Table1[[DTXSID]:[degrades.pValue]],MATCH($A46,[2]!Table1[DTXSID],0),3)</f>
        <v>0</v>
      </c>
      <c r="F46">
        <f>INDEX([2]!Table1[[DTXSID]:[degrades.pValue]],MATCH($A46,[2]!Table1[DTXSID],0),9)</f>
        <v>0.999</v>
      </c>
      <c r="G46">
        <f>INDEX([2]!Table1[[DTXSID]:[degrades.pValue]],MATCH($A46,[2]!Table1[DTXSID],0),11)</f>
        <v>0</v>
      </c>
      <c r="H46" t="str">
        <f>IF(OR(AND(Table1[[#This Row],[ManualClintpValue]]&lt;0.05,Table1[[#This Row],[BayesClintpValue]]&lt;0.05),AND(Table1[[#This Row],[ManualClintpValue]]&gt;0.05,Table1[[#This Row],[BayesClintpValue]]&gt;0.5)),"Y","N")</f>
        <v>Y</v>
      </c>
    </row>
    <row r="47" spans="1:8" x14ac:dyDescent="0.35">
      <c r="A47" s="4" t="s">
        <v>46</v>
      </c>
      <c r="B47" t="str">
        <f>INDEX([1]Table_S4_Clint_Data_Summary!$A$2:$I$55,MATCH(A47,[1]Table_S4_Clint_Data_Summary!$B$2:$B$55,0),1)</f>
        <v>4,4-bis(Trifluoromethyl)-4-fluoropropanoic acid</v>
      </c>
      <c r="C47">
        <f>INDEX([1]Table_S4_Clint_Data_Summary!$A$2:$I$55,MATCH($A47,[1]Table_S4_Clint_Data_Summary!$B$2:$B$55,0),7)</f>
        <v>0</v>
      </c>
      <c r="D47" t="str">
        <f>INDEX([1]Table_S4_Clint_Data_Summary!$A$2:$I$55,MATCH($A47,[1]Table_S4_Clint_Data_Summary!$B$2:$B$55,0),8)</f>
        <v>NS</v>
      </c>
      <c r="E47">
        <f>INDEX([2]!Table1[[DTXSID]:[degrades.pValue]],MATCH($A47,[2]!Table1[DTXSID],0),3)</f>
        <v>0</v>
      </c>
      <c r="F47">
        <f>INDEX([2]!Table1[[DTXSID]:[degrades.pValue]],MATCH($A47,[2]!Table1[DTXSID],0),9)</f>
        <v>0.999</v>
      </c>
      <c r="G47">
        <f>INDEX([2]!Table1[[DTXSID]:[degrades.pValue]],MATCH($A47,[2]!Table1[DTXSID],0),11)</f>
        <v>0</v>
      </c>
      <c r="H47" t="str">
        <f>IF(OR(AND(Table1[[#This Row],[ManualClintpValue]]&lt;0.05,Table1[[#This Row],[BayesClintpValue]]&lt;0.05),AND(Table1[[#This Row],[ManualClintpValue]]&gt;0.05,Table1[[#This Row],[BayesClintpValue]]&gt;0.5)),"Y","N")</f>
        <v>Y</v>
      </c>
    </row>
    <row r="48" spans="1:8" ht="26" x14ac:dyDescent="0.35">
      <c r="A48" s="2" t="s">
        <v>50</v>
      </c>
      <c r="B48" t="str">
        <f>INDEX([1]Table_S4_Clint_Data_Summary!$A$2:$I$55,MATCH(A48,[1]Table_S4_Clint_Data_Summary!$B$2:$B$55,0),1)</f>
        <v>Perfluoro-3,6-dioxadecanoic acid (PFPE-5)</v>
      </c>
      <c r="C48">
        <f>INDEX([1]Table_S4_Clint_Data_Summary!$A$2:$I$55,MATCH($A48,[1]Table_S4_Clint_Data_Summary!$B$2:$B$55,0),7)</f>
        <v>0</v>
      </c>
      <c r="D48" t="str">
        <f>INDEX([1]Table_S4_Clint_Data_Summary!$A$2:$I$55,MATCH($A48,[1]Table_S4_Clint_Data_Summary!$B$2:$B$55,0),8)</f>
        <v>NS</v>
      </c>
      <c r="E48">
        <f>INDEX([2]!Table1[[DTXSID]:[degrades.pValue]],MATCH($A48,[2]!Table1[DTXSID],0),3)</f>
        <v>0</v>
      </c>
      <c r="F48">
        <f>INDEX([2]!Table1[[DTXSID]:[degrades.pValue]],MATCH($A48,[2]!Table1[DTXSID],0),9)</f>
        <v>0.999</v>
      </c>
      <c r="G48">
        <f>INDEX([2]!Table1[[DTXSID]:[degrades.pValue]],MATCH($A48,[2]!Table1[DTXSID],0),11)</f>
        <v>0</v>
      </c>
      <c r="H48" t="str">
        <f>IF(OR(AND(Table1[[#This Row],[ManualClintpValue]]&lt;0.05,Table1[[#This Row],[BayesClintpValue]]&lt;0.05),AND(Table1[[#This Row],[ManualClintpValue]]&gt;0.05,Table1[[#This Row],[BayesClintpValue]]&gt;0.5)),"Y","N")</f>
        <v>Y</v>
      </c>
    </row>
    <row r="49" spans="1:8" ht="26" x14ac:dyDescent="0.35">
      <c r="A49" s="2" t="s">
        <v>19</v>
      </c>
      <c r="B49" t="str">
        <f>INDEX([1]Table_S4_Clint_Data_Summary!$A$2:$I$55,MATCH(A49,[1]Table_S4_Clint_Data_Summary!$B$2:$B$55,0),1)</f>
        <v>Perfluorodecanoic acid</v>
      </c>
      <c r="C49">
        <f>INDEX([1]Table_S4_Clint_Data_Summary!$A$2:$I$55,MATCH($A49,[1]Table_S4_Clint_Data_Summary!$B$2:$B$55,0),7)</f>
        <v>0</v>
      </c>
      <c r="D49">
        <f>INDEX([1]Table_S4_Clint_Data_Summary!$A$2:$I$55,MATCH($A49,[1]Table_S4_Clint_Data_Summary!$B$2:$B$55,0),8)</f>
        <v>7.3800000000000004E-2</v>
      </c>
      <c r="E49">
        <f>INDEX([2]!Table1[[DTXSID]:[degrades.pValue]],MATCH($A49,[2]!Table1[DTXSID],0),3)</f>
        <v>0</v>
      </c>
      <c r="F49">
        <f>INDEX([2]!Table1[[DTXSID]:[degrades.pValue]],MATCH($A49,[2]!Table1[DTXSID],0),9)</f>
        <v>1</v>
      </c>
      <c r="G49">
        <f>INDEX([2]!Table1[[DTXSID]:[degrades.pValue]],MATCH($A49,[2]!Table1[DTXSID],0),11)</f>
        <v>0</v>
      </c>
      <c r="H49" t="str">
        <f>IF(OR(AND(Table1[[#This Row],[ManualClintpValue]]&lt;0.05,Table1[[#This Row],[BayesClintpValue]]&lt;0.05),AND(Table1[[#This Row],[ManualClintpValue]]&gt;0.05,Table1[[#This Row],[BayesClintpValue]]&gt;0.5)),"Y","N")</f>
        <v>Y</v>
      </c>
    </row>
    <row r="50" spans="1:8" ht="26" x14ac:dyDescent="0.35">
      <c r="A50" s="2" t="s">
        <v>24</v>
      </c>
      <c r="B50" t="str">
        <f>INDEX([1]Table_S4_Clint_Data_Summary!$A$2:$I$55,MATCH(A50,[1]Table_S4_Clint_Data_Summary!$B$2:$B$55,0),1)</f>
        <v>Perfluoro-3-methoxypropanoic acid</v>
      </c>
      <c r="C50">
        <f>INDEX([1]Table_S4_Clint_Data_Summary!$A$2:$I$55,MATCH($A50,[1]Table_S4_Clint_Data_Summary!$B$2:$B$55,0),7)</f>
        <v>0</v>
      </c>
      <c r="D50">
        <f>INDEX([1]Table_S4_Clint_Data_Summary!$A$2:$I$55,MATCH($A50,[1]Table_S4_Clint_Data_Summary!$B$2:$B$55,0),8)</f>
        <v>0.13880000000000001</v>
      </c>
      <c r="E50">
        <f>INDEX([2]!Table1[[DTXSID]:[degrades.pValue]],MATCH($A50,[2]!Table1[DTXSID],0),3)</f>
        <v>0</v>
      </c>
      <c r="F50">
        <f>INDEX([2]!Table1[[DTXSID]:[degrades.pValue]],MATCH($A50,[2]!Table1[DTXSID],0),9)</f>
        <v>0.88900000000000001</v>
      </c>
      <c r="G50">
        <f>INDEX([2]!Table1[[DTXSID]:[degrades.pValue]],MATCH($A50,[2]!Table1[DTXSID],0),11)</f>
        <v>0.109</v>
      </c>
      <c r="H50" t="str">
        <f>IF(OR(AND(Table1[[#This Row],[ManualClintpValue]]&lt;0.05,Table1[[#This Row],[BayesClintpValue]]&lt;0.05),AND(Table1[[#This Row],[ManualClintpValue]]&gt;0.05,Table1[[#This Row],[BayesClintpValue]]&gt;0.5)),"Y","N")</f>
        <v>Y</v>
      </c>
    </row>
    <row r="51" spans="1:8" ht="26" x14ac:dyDescent="0.35">
      <c r="A51" s="2" t="s">
        <v>33</v>
      </c>
      <c r="B51" t="str">
        <f>INDEX([1]Table_S4_Clint_Data_Summary!$A$2:$I$55,MATCH(A51,[1]Table_S4_Clint_Data_Summary!$B$2:$B$55,0),1)</f>
        <v>Perfluoro-3,6-dioxaheptanoic acid</v>
      </c>
      <c r="C51">
        <f>INDEX([1]Table_S4_Clint_Data_Summary!$A$2:$I$55,MATCH($A51,[1]Table_S4_Clint_Data_Summary!$B$2:$B$55,0),7)</f>
        <v>0</v>
      </c>
      <c r="D51">
        <f>INDEX([1]Table_S4_Clint_Data_Summary!$A$2:$I$55,MATCH($A51,[1]Table_S4_Clint_Data_Summary!$B$2:$B$55,0),8)</f>
        <v>0.35749999999999998</v>
      </c>
      <c r="E51">
        <f>INDEX([2]!Table1[[DTXSID]:[degrades.pValue]],MATCH($A51,[2]!Table1[DTXSID],0),3)</f>
        <v>0</v>
      </c>
      <c r="F51">
        <f>INDEX([2]!Table1[[DTXSID]:[degrades.pValue]],MATCH($A51,[2]!Table1[DTXSID],0),9)</f>
        <v>0.998</v>
      </c>
      <c r="G51">
        <f>INDEX([2]!Table1[[DTXSID]:[degrades.pValue]],MATCH($A51,[2]!Table1[DTXSID],0),11)</f>
        <v>4.0000000000000002E-4</v>
      </c>
      <c r="H51" t="str">
        <f>IF(OR(AND(Table1[[#This Row],[ManualClintpValue]]&lt;0.05,Table1[[#This Row],[BayesClintpValue]]&lt;0.05),AND(Table1[[#This Row],[ManualClintpValue]]&gt;0.05,Table1[[#This Row],[BayesClintpValue]]&gt;0.5)),"Y","N")</f>
        <v>Y</v>
      </c>
    </row>
    <row r="52" spans="1:8" x14ac:dyDescent="0.35">
      <c r="A52" s="4" t="s">
        <v>37</v>
      </c>
      <c r="B52" t="str">
        <f>INDEX([1]Table_S4_Clint_Data_Summary!$A$2:$I$55,MATCH(A52,[1]Table_S4_Clint_Data_Summary!$B$2:$B$55,0),1)</f>
        <v>Potassium perfluorohexanesulfonate</v>
      </c>
      <c r="C52">
        <f>INDEX([1]Table_S4_Clint_Data_Summary!$A$2:$I$55,MATCH($A52,[1]Table_S4_Clint_Data_Summary!$B$2:$B$55,0),7)</f>
        <v>0</v>
      </c>
      <c r="D52">
        <f>INDEX([1]Table_S4_Clint_Data_Summary!$A$2:$I$55,MATCH($A52,[1]Table_S4_Clint_Data_Summary!$B$2:$B$55,0),8)</f>
        <v>0.48220000000000002</v>
      </c>
      <c r="E52">
        <f>INDEX([2]!Table1[[DTXSID]:[degrades.pValue]],MATCH($A52,[2]!Table1[DTXSID],0),3)</f>
        <v>0</v>
      </c>
      <c r="F52">
        <f>INDEX([2]!Table1[[DTXSID]:[degrades.pValue]],MATCH($A52,[2]!Table1[DTXSID],0),9)</f>
        <v>1</v>
      </c>
      <c r="G52">
        <f>INDEX([2]!Table1[[DTXSID]:[degrades.pValue]],MATCH($A52,[2]!Table1[DTXSID],0),11)</f>
        <v>0</v>
      </c>
      <c r="H52" t="str">
        <f>IF(OR(AND(Table1[[#This Row],[ManualClintpValue]]&lt;0.05,Table1[[#This Row],[BayesClintpValue]]&lt;0.05),AND(Table1[[#This Row],[ManualClintpValue]]&gt;0.05,Table1[[#This Row],[BayesClintpValue]]&gt;0.5)),"Y","N")</f>
        <v>Y</v>
      </c>
    </row>
    <row r="53" spans="1:8" ht="26" x14ac:dyDescent="0.35">
      <c r="A53" s="2" t="s">
        <v>38</v>
      </c>
      <c r="B53" t="str">
        <f>INDEX([1]Table_S4_Clint_Data_Summary!$A$2:$I$55,MATCH(A53,[1]Table_S4_Clint_Data_Summary!$B$2:$B$55,0),1)</f>
        <v>2-(Perfluorohexyl)ethylphosphonic acid</v>
      </c>
      <c r="C53">
        <f>INDEX([1]Table_S4_Clint_Data_Summary!$A$2:$I$55,MATCH($A53,[1]Table_S4_Clint_Data_Summary!$B$2:$B$55,0),7)</f>
        <v>0.71</v>
      </c>
      <c r="D53">
        <f>INDEX([1]Table_S4_Clint_Data_Summary!$A$2:$I$55,MATCH($A53,[1]Table_S4_Clint_Data_Summary!$B$2:$B$55,0),8)</f>
        <v>0.5272</v>
      </c>
      <c r="E53">
        <f>INDEX([2]!Table1[[DTXSID]:[degrades.pValue]],MATCH($A53,[2]!Table1[DTXSID],0),3)</f>
        <v>0</v>
      </c>
      <c r="F53">
        <f>INDEX([2]!Table1[[DTXSID]:[degrades.pValue]],MATCH($A53,[2]!Table1[DTXSID],0),9)</f>
        <v>1</v>
      </c>
      <c r="G53">
        <f>INDEX([2]!Table1[[DTXSID]:[degrades.pValue]],MATCH($A53,[2]!Table1[DTXSID],0),11)</f>
        <v>1</v>
      </c>
      <c r="H53" t="str">
        <f>IF(OR(AND(Table1[[#This Row],[ManualClintpValue]]&lt;0.05,Table1[[#This Row],[BayesClintpValue]]&lt;0.05),AND(Table1[[#This Row],[ManualClintpValue]]&gt;0.05,Table1[[#This Row],[BayesClintpValue]]&gt;0.5)),"Y","N")</f>
        <v>Y</v>
      </c>
    </row>
    <row r="54" spans="1:8" x14ac:dyDescent="0.35">
      <c r="A54" s="4" t="s">
        <v>40</v>
      </c>
      <c r="B54" t="str">
        <f>INDEX([1]Table_S4_Clint_Data_Summary!$A$2:$I$55,MATCH(A54,[1]Table_S4_Clint_Data_Summary!$B$2:$B$55,0),1)</f>
        <v>Perfluoro-1-octanesulfonyl chloride</v>
      </c>
      <c r="C54">
        <f>INDEX([1]Table_S4_Clint_Data_Summary!$A$2:$I$55,MATCH($A54,[1]Table_S4_Clint_Data_Summary!$B$2:$B$55,0),7)</f>
        <v>0</v>
      </c>
      <c r="D54">
        <f>INDEX([1]Table_S4_Clint_Data_Summary!$A$2:$I$55,MATCH($A54,[1]Table_S4_Clint_Data_Summary!$B$2:$B$55,0),8)</f>
        <v>0.61119999999999997</v>
      </c>
      <c r="E54">
        <f>INDEX([2]!Table1[[DTXSID]:[degrades.pValue]],MATCH($A54,[2]!Table1[DTXSID],0),3)</f>
        <v>0</v>
      </c>
      <c r="F54">
        <f>INDEX([2]!Table1[[DTXSID]:[degrades.pValue]],MATCH($A54,[2]!Table1[DTXSID],0),9)</f>
        <v>1</v>
      </c>
      <c r="G54">
        <f>INDEX([2]!Table1[[DTXSID]:[degrades.pValue]],MATCH($A54,[2]!Table1[DTXSID],0),11)</f>
        <v>0</v>
      </c>
      <c r="H54" t="str">
        <f>IF(OR(AND(Table1[[#This Row],[ManualClintpValue]]&lt;0.05,Table1[[#This Row],[BayesClintpValue]]&lt;0.05),AND(Table1[[#This Row],[ManualClintpValue]]&gt;0.05,Table1[[#This Row],[BayesClintpValue]]&gt;0.5)),"Y","N")</f>
        <v>Y</v>
      </c>
    </row>
    <row r="55" spans="1:8" x14ac:dyDescent="0.35">
      <c r="A55" s="4" t="s">
        <v>41</v>
      </c>
      <c r="B55" t="str">
        <f>INDEX([1]Table_S4_Clint_Data_Summary!$A$2:$I$55,MATCH(A55,[1]Table_S4_Clint_Data_Summary!$B$2:$B$55,0),1)</f>
        <v>Potassium perfluorobutanesulfonate</v>
      </c>
      <c r="C55">
        <f>INDEX([1]Table_S4_Clint_Data_Summary!$A$2:$I$55,MATCH($A55,[1]Table_S4_Clint_Data_Summary!$B$2:$B$55,0),7)</f>
        <v>0</v>
      </c>
      <c r="D55">
        <f>INDEX([1]Table_S4_Clint_Data_Summary!$A$2:$I$55,MATCH($A55,[1]Table_S4_Clint_Data_Summary!$B$2:$B$55,0),8)</f>
        <v>0.71930000000000005</v>
      </c>
      <c r="E55">
        <f>INDEX([2]!Table1[[DTXSID]:[degrades.pValue]],MATCH($A55,[2]!Table1[DTXSID],0),3)</f>
        <v>0</v>
      </c>
      <c r="F55">
        <f>INDEX([2]!Table1[[DTXSID]:[degrades.pValue]],MATCH($A55,[2]!Table1[DTXSID],0),9)</f>
        <v>1</v>
      </c>
      <c r="G55">
        <f>INDEX([2]!Table1[[DTXSID]:[degrades.pValue]],MATCH($A55,[2]!Table1[DTXSID],0),11)</f>
        <v>0</v>
      </c>
      <c r="H55" t="str">
        <f>IF(OR(AND(Table1[[#This Row],[ManualClintpValue]]&lt;0.05,Table1[[#This Row],[BayesClintpValue]]&lt;0.05),AND(Table1[[#This Row],[ManualClintpValue]]&gt;0.05,Table1[[#This Row],[BayesClintpValue]]&gt;0.5)),"Y","N")</f>
        <v>Y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Wambaugh, John (he/him/his)</dc:creator>
  <cp:lastModifiedBy>Wambaugh, John (he/him/his)</cp:lastModifiedBy>
  <dcterms:created xsi:type="dcterms:W3CDTF">2024-05-09T14:57:08Z</dcterms:created>
  <dcterms:modified xsi:type="dcterms:W3CDTF">2024-05-09T21:49:55Z</dcterms:modified>
</cp:coreProperties>
</file>